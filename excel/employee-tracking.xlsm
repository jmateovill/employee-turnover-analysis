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E02E980B-01E3-402D-BB3E-159AEE8CC6E8}"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definedNames>
    <definedName name="Slicer_Department1">#N/A</definedName>
    <definedName name="TotalHeadcount_KPI">GETPIVOTDATA("Employee ID",'PIVOT TABLES'!$B$4)</definedName>
  </definedNames>
  <calcPr calcId="191029"/>
  <pivotCaches>
    <pivotCache cacheId="7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C16" i="5"/>
  <c r="E16" i="5"/>
  <c r="AF9" i="1"/>
  <c r="C17" i="5"/>
  <c r="C9" i="5"/>
  <c r="E15" i="5"/>
  <c r="E19" i="5"/>
  <c r="B4" i="5"/>
  <c r="E17" i="5"/>
  <c r="C15" i="1"/>
  <c r="C10" i="5"/>
  <c r="E18" i="5"/>
  <c r="C15" i="5"/>
  <c r="AF10" i="1"/>
  <c r="C18"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AB7" i="1" s="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33" i="1" l="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<sst xmlns="http://schemas.openxmlformats.org/spreadsheetml/2006/main" count="5662" uniqueCount="1199">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</sst>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5">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0" fontId="0" fillId="0" borderId="2" xfId="0" applyNumberFormat="1" applyBorder="1"/>
    <xf numFmtId="0" fontId="0" fillId="0" borderId="7" xfId="0" applyNumberFormat="1" applyBorder="1"/>
    <xf numFmtId="0" fontId="1" fillId="0" borderId="1" xfId="0" applyNumberFormat="1" applyFont="1" applyBorder="1"/>
    <xf numFmtId="0" fontId="0" fillId="0" borderId="3" xfId="0" applyNumberFormat="1" applyBorder="1"/>
    <xf numFmtId="0" fontId="0" fillId="0" borderId="4" xfId="0" applyNumberFormat="1" applyBorder="1"/>
    <xf numFmtId="0" fontId="0" fillId="0" borderId="5" xfId="0" applyNumberFormat="1" applyBorder="1"/>
    <xf numFmtId="0" fontId="0" fillId="0" borderId="6" xfId="0" applyNumberFormat="1" applyBorder="1"/>
    <xf numFmtId="0" fontId="0" fillId="0" borderId="8" xfId="0" applyNumberFormat="1" applyBorder="1"/>
    <xf numFmtId="0" fontId="0" fillId="0" borderId="12" xfId="0" applyNumberFormat="1" applyBorder="1"/>
    <xf numFmtId="0" fontId="0" fillId="0" borderId="9" xfId="0" applyNumberFormat="1" applyBorder="1"/>
  </cellXfs>
  <cellStyles count="1">
    <cellStyle name="Normal" xfId="0" builtinId="0"/>
  </cellStyles>
  <dxfs count="69">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0" formatCode="General"/>
    </dxf>
    <dxf>
      <numFmt numFmtId="0" formatCode="General"/>
    </dxf>
    <dxf>
      <numFmt numFmtId="0" formatCode="General"/>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8"/>
    </tableStyle>
  </tableStyles>
  <colors>
    <mruColors>
      <color rgb="FF76549A"/>
      <color rgb="FFFF7171"/>
      <color rgb="FFFFFFFF"/>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42</c:v>
                </c:pt>
                <c:pt idx="1">
                  <c:v>78</c:v>
                </c:pt>
                <c:pt idx="2">
                  <c:v>80</c:v>
                </c:pt>
                <c:pt idx="3">
                  <c:v>80</c:v>
                </c:pt>
                <c:pt idx="4">
                  <c:v>79</c:v>
                </c:pt>
                <c:pt idx="5">
                  <c:v>85</c:v>
                </c:pt>
                <c:pt idx="6">
                  <c:v>97</c:v>
                </c:pt>
                <c:pt idx="7">
                  <c:v>90</c:v>
                </c:pt>
                <c:pt idx="8">
                  <c:v>36</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2.9723991507430998E-2</c:v>
                </c:pt>
                <c:pt idx="28">
                  <c:v>4.360056258790436E-2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21</c:v>
                </c:pt>
                <c:pt idx="28">
                  <c:v>31</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3" Type="http://schemas.openxmlformats.org/officeDocument/2006/relationships/image" Target="../media/image3.png"/><Relationship Id="rId21"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6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1305877</xdr:colOff>
      <xdr:row>0</xdr:row>
      <xdr:rowOff>99060</xdr:rowOff>
    </xdr:from>
    <xdr:to>
      <xdr:col>9</xdr:col>
      <xdr:colOff>147637</xdr:colOff>
      <xdr:row>2</xdr:row>
      <xdr:rowOff>129540</xdr:rowOff>
    </xdr:to>
    <xdr:grpSp>
      <xdr:nvGrpSpPr>
        <xdr:cNvPr id="52" name="RefreshButton">
          <a:extLst>
            <a:ext uri="{FF2B5EF4-FFF2-40B4-BE49-F238E27FC236}">
              <a16:creationId xmlns:a16="http://schemas.microsoft.com/office/drawing/2014/main" id="{D24E4BC0-9083-EFFC-9819-25AB506EBC9D}"/>
            </a:ext>
          </a:extLst>
        </xdr:cNvPr>
        <xdr:cNvGrpSpPr/>
      </xdr:nvGrpSpPr>
      <xdr:grpSpPr>
        <a:xfrm>
          <a:off x="12484417" y="99060"/>
          <a:ext cx="419100" cy="396240"/>
          <a:chOff x="12483328" y="99060"/>
          <a:chExt cx="418012" cy="39624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83328" y="99060"/>
            <a:ext cx="4180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09168" y="116775"/>
            <a:ext cx="350850" cy="360046"/>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199.722296064814"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0">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5-02-14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s v="Resignation"/>
        <s v="Contract End"/>
        <s v="Termination"/>
        <s v="Retirement"/>
        <s v="Relocation"/>
        <s v="Health Issues"/>
        <m/>
      </sharedItems>
    </cacheField>
    <cacheField name="Status" numFmtId="0">
      <sharedItems count="2">
        <s v="Exited"/>
        <s v="Active"/>
      </sharedItems>
    </cacheField>
    <cacheField name="Tenure (days)" numFmtId="0">
      <sharedItems containsSemiMixedTypes="0" containsString="0" containsNumber="1" containsInteger="1" minValue="92" maxValue="3094"/>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598"/>
    <x v="0"/>
  </r>
  <r>
    <n v="1002"/>
    <s v="Paz Aguilar Camacho"/>
    <x v="1"/>
    <s v="Female"/>
    <n v="53"/>
    <x v="1"/>
    <x v="1"/>
    <x v="1"/>
    <x v="1"/>
    <x v="0"/>
    <n v="293"/>
    <x v="1"/>
  </r>
  <r>
    <n v="1003"/>
    <s v="Celine Diaz Domingo"/>
    <x v="2"/>
    <s v="Female"/>
    <n v="31"/>
    <x v="0"/>
    <x v="2"/>
    <x v="2"/>
    <x v="2"/>
    <x v="1"/>
    <n v="239"/>
    <x v="1"/>
  </r>
  <r>
    <n v="1004"/>
    <s v="Eduardo Torres Dela Torre"/>
    <x v="1"/>
    <s v="Male"/>
    <n v="43"/>
    <x v="2"/>
    <x v="3"/>
    <x v="2"/>
    <x v="2"/>
    <x v="1"/>
    <n v="1690"/>
    <x v="0"/>
  </r>
  <r>
    <n v="1005"/>
    <s v="Jerome Ocampo Macapagal"/>
    <x v="3"/>
    <s v="Male"/>
    <n v="56"/>
    <x v="1"/>
    <x v="4"/>
    <x v="2"/>
    <x v="2"/>
    <x v="1"/>
    <n v="1898"/>
    <x v="2"/>
  </r>
  <r>
    <n v="1006"/>
    <s v="Lourdes Santiago Panganiban"/>
    <x v="1"/>
    <s v="Female"/>
    <n v="39"/>
    <x v="0"/>
    <x v="5"/>
    <x v="2"/>
    <x v="2"/>
    <x v="1"/>
    <n v="2772"/>
    <x v="3"/>
  </r>
  <r>
    <n v="1007"/>
    <s v="Manuel Quiambao"/>
    <x v="1"/>
    <s v="Male"/>
    <n v="38"/>
    <x v="0"/>
    <x v="6"/>
    <x v="2"/>
    <x v="2"/>
    <x v="1"/>
    <n v="224"/>
    <x v="1"/>
  </r>
  <r>
    <n v="1008"/>
    <s v="Pacita Bautista Guevarra"/>
    <x v="0"/>
    <s v="Female"/>
    <n v="50"/>
    <x v="1"/>
    <x v="7"/>
    <x v="3"/>
    <x v="1"/>
    <x v="0"/>
    <n v="1400"/>
    <x v="4"/>
  </r>
  <r>
    <n v="1009"/>
    <s v="Tess Ang Miranda"/>
    <x v="1"/>
    <s v="Female"/>
    <n v="41"/>
    <x v="2"/>
    <x v="8"/>
    <x v="4"/>
    <x v="3"/>
    <x v="0"/>
    <n v="522"/>
    <x v="5"/>
  </r>
  <r>
    <n v="1010"/>
    <s v="Gloria Chan"/>
    <x v="4"/>
    <s v="Other"/>
    <n v="50"/>
    <x v="1"/>
    <x v="9"/>
    <x v="5"/>
    <x v="1"/>
    <x v="0"/>
    <n v="1100"/>
    <x v="4"/>
  </r>
  <r>
    <n v="1011"/>
    <s v="Crisanto Bautista Cueto"/>
    <x v="4"/>
    <s v="Male"/>
    <n v="44"/>
    <x v="2"/>
    <x v="10"/>
    <x v="2"/>
    <x v="2"/>
    <x v="1"/>
    <n v="2200"/>
    <x v="6"/>
  </r>
  <r>
    <n v="1012"/>
    <s v="Teresa Go Salazar"/>
    <x v="2"/>
    <s v="Female"/>
    <n v="31"/>
    <x v="0"/>
    <x v="11"/>
    <x v="2"/>
    <x v="2"/>
    <x v="1"/>
    <n v="311"/>
    <x v="1"/>
  </r>
  <r>
    <n v="1013"/>
    <s v="Gloria Wong"/>
    <x v="0"/>
    <s v="Other"/>
    <n v="21"/>
    <x v="3"/>
    <x v="12"/>
    <x v="2"/>
    <x v="2"/>
    <x v="1"/>
    <n v="312"/>
    <x v="1"/>
  </r>
  <r>
    <n v="1014"/>
    <s v="Jacqueline Bagtas"/>
    <x v="4"/>
    <s v="Female"/>
    <n v="31"/>
    <x v="0"/>
    <x v="13"/>
    <x v="6"/>
    <x v="4"/>
    <x v="0"/>
    <n v="629"/>
    <x v="5"/>
  </r>
  <r>
    <n v="1015"/>
    <s v="Paz Elegado"/>
    <x v="2"/>
    <s v="Female"/>
    <n v="53"/>
    <x v="1"/>
    <x v="14"/>
    <x v="7"/>
    <x v="1"/>
    <x v="0"/>
    <n v="281"/>
    <x v="1"/>
  </r>
  <r>
    <n v="1016"/>
    <s v="Christian Garcia Sy"/>
    <x v="0"/>
    <s v="Male"/>
    <n v="28"/>
    <x v="3"/>
    <x v="15"/>
    <x v="2"/>
    <x v="2"/>
    <x v="1"/>
    <n v="1612"/>
    <x v="0"/>
  </r>
  <r>
    <n v="1017"/>
    <s v="Bernardo Lopez Delos Reyes"/>
    <x v="1"/>
    <s v="Male"/>
    <n v="25"/>
    <x v="3"/>
    <x v="16"/>
    <x v="2"/>
    <x v="2"/>
    <x v="1"/>
    <n v="917"/>
    <x v="7"/>
  </r>
  <r>
    <n v="1018"/>
    <s v="Miguel Santiago Miranda"/>
    <x v="4"/>
    <s v="Other"/>
    <n v="48"/>
    <x v="2"/>
    <x v="17"/>
    <x v="2"/>
    <x v="2"/>
    <x v="1"/>
    <n v="2231"/>
    <x v="6"/>
  </r>
  <r>
    <n v="1019"/>
    <s v="Pete Santos Lim"/>
    <x v="4"/>
    <s v="Male"/>
    <n v="28"/>
    <x v="3"/>
    <x v="18"/>
    <x v="8"/>
    <x v="0"/>
    <x v="0"/>
    <n v="782"/>
    <x v="7"/>
  </r>
  <r>
    <n v="1020"/>
    <s v="Francis Aguilar Villanueva"/>
    <x v="1"/>
    <s v="Male"/>
    <n v="35"/>
    <x v="0"/>
    <x v="19"/>
    <x v="2"/>
    <x v="2"/>
    <x v="1"/>
    <n v="2822"/>
    <x v="3"/>
  </r>
  <r>
    <n v="1021"/>
    <s v="Teresita Tuazon"/>
    <x v="5"/>
    <s v="Female"/>
    <n v="29"/>
    <x v="3"/>
    <x v="20"/>
    <x v="2"/>
    <x v="2"/>
    <x v="1"/>
    <n v="760"/>
    <x v="7"/>
  </r>
  <r>
    <n v="1022"/>
    <s v="Fe Mendoza Dela Torre"/>
    <x v="1"/>
    <s v="Female"/>
    <n v="48"/>
    <x v="2"/>
    <x v="21"/>
    <x v="2"/>
    <x v="2"/>
    <x v="1"/>
    <n v="1647"/>
    <x v="0"/>
  </r>
  <r>
    <n v="1023"/>
    <s v="Rosa Mercado Navarro"/>
    <x v="1"/>
    <s v="Other"/>
    <n v="27"/>
    <x v="3"/>
    <x v="22"/>
    <x v="9"/>
    <x v="5"/>
    <x v="0"/>
    <n v="1188"/>
    <x v="4"/>
  </r>
  <r>
    <n v="1024"/>
    <s v="Rosalinda Chan Pascual"/>
    <x v="2"/>
    <s v="Female"/>
    <n v="56"/>
    <x v="1"/>
    <x v="23"/>
    <x v="10"/>
    <x v="4"/>
    <x v="0"/>
    <n v="150"/>
    <x v="1"/>
  </r>
  <r>
    <n v="1025"/>
    <s v="Wilfredo Estrada"/>
    <x v="1"/>
    <s v="Male"/>
    <n v="64"/>
    <x v="4"/>
    <x v="24"/>
    <x v="11"/>
    <x v="6"/>
    <x v="0"/>
    <n v="1689"/>
    <x v="0"/>
  </r>
  <r>
    <n v="1026"/>
    <s v="Lourdes Navarro San Pedro"/>
    <x v="5"/>
    <s v="Other"/>
    <n v="52"/>
    <x v="1"/>
    <x v="25"/>
    <x v="12"/>
    <x v="4"/>
    <x v="0"/>
    <n v="981"/>
    <x v="7"/>
  </r>
  <r>
    <n v="1027"/>
    <s v="Ismael Mercado Aquino"/>
    <x v="1"/>
    <s v="Male"/>
    <n v="53"/>
    <x v="1"/>
    <x v="26"/>
    <x v="13"/>
    <x v="0"/>
    <x v="0"/>
    <n v="610"/>
    <x v="5"/>
  </r>
  <r>
    <n v="1028"/>
    <s v="Jamie Navarro Trinidad"/>
    <x v="4"/>
    <s v="Other"/>
    <n v="57"/>
    <x v="1"/>
    <x v="27"/>
    <x v="2"/>
    <x v="2"/>
    <x v="1"/>
    <n v="2090"/>
    <x v="2"/>
  </r>
  <r>
    <n v="1029"/>
    <s v="Faith Ocampo Roque"/>
    <x v="3"/>
    <s v="Female"/>
    <n v="41"/>
    <x v="2"/>
    <x v="28"/>
    <x v="14"/>
    <x v="7"/>
    <x v="0"/>
    <n v="358"/>
    <x v="1"/>
  </r>
  <r>
    <n v="1030"/>
    <s v="Bernardo Manalang"/>
    <x v="1"/>
    <s v="Male"/>
    <n v="57"/>
    <x v="1"/>
    <x v="29"/>
    <x v="15"/>
    <x v="8"/>
    <x v="0"/>
    <n v="963"/>
    <x v="7"/>
  </r>
  <r>
    <n v="1031"/>
    <s v="Bryan Solis"/>
    <x v="2"/>
    <s v="Male"/>
    <n v="31"/>
    <x v="0"/>
    <x v="30"/>
    <x v="2"/>
    <x v="2"/>
    <x v="1"/>
    <n v="1304"/>
    <x v="4"/>
  </r>
  <r>
    <n v="1032"/>
    <s v="Ronaldo Mendoza Ramirez"/>
    <x v="2"/>
    <s v="Male"/>
    <n v="56"/>
    <x v="1"/>
    <x v="31"/>
    <x v="2"/>
    <x v="2"/>
    <x v="1"/>
    <n v="1872"/>
    <x v="2"/>
  </r>
  <r>
    <n v="1033"/>
    <s v="Abigail Bautista Bagtas"/>
    <x v="5"/>
    <s v="Female"/>
    <n v="39"/>
    <x v="0"/>
    <x v="32"/>
    <x v="16"/>
    <x v="0"/>
    <x v="0"/>
    <n v="441"/>
    <x v="5"/>
  </r>
  <r>
    <n v="1034"/>
    <s v="Teodoro Aguilar"/>
    <x v="1"/>
    <s v="Male"/>
    <n v="38"/>
    <x v="0"/>
    <x v="33"/>
    <x v="17"/>
    <x v="7"/>
    <x v="0"/>
    <n v="625"/>
    <x v="5"/>
  </r>
  <r>
    <n v="1035"/>
    <s v="Kevin Sy Narvasa"/>
    <x v="0"/>
    <s v="Male"/>
    <n v="21"/>
    <x v="3"/>
    <x v="34"/>
    <x v="18"/>
    <x v="8"/>
    <x v="0"/>
    <n v="700"/>
    <x v="5"/>
  </r>
  <r>
    <n v="1036"/>
    <s v="Mylene Jacinto"/>
    <x v="1"/>
    <s v="Female"/>
    <n v="23"/>
    <x v="3"/>
    <x v="35"/>
    <x v="19"/>
    <x v="7"/>
    <x v="0"/>
    <n v="601"/>
    <x v="5"/>
  </r>
  <r>
    <n v="1037"/>
    <s v="Hernando Diaz Bondoc"/>
    <x v="4"/>
    <s v="Male"/>
    <n v="30"/>
    <x v="0"/>
    <x v="36"/>
    <x v="2"/>
    <x v="2"/>
    <x v="1"/>
    <n v="2129"/>
    <x v="2"/>
  </r>
  <r>
    <n v="1038"/>
    <s v="Antonio Go Tuazon"/>
    <x v="2"/>
    <s v="Male"/>
    <n v="36"/>
    <x v="0"/>
    <x v="37"/>
    <x v="20"/>
    <x v="0"/>
    <x v="0"/>
    <n v="1526"/>
    <x v="0"/>
  </r>
  <r>
    <n v="1039"/>
    <s v="Fernando Aquino"/>
    <x v="4"/>
    <s v="Other"/>
    <n v="35"/>
    <x v="0"/>
    <x v="38"/>
    <x v="21"/>
    <x v="5"/>
    <x v="0"/>
    <n v="881"/>
    <x v="7"/>
  </r>
  <r>
    <n v="1040"/>
    <s v="Neil Mangubat"/>
    <x v="4"/>
    <s v="Male"/>
    <n v="46"/>
    <x v="2"/>
    <x v="39"/>
    <x v="2"/>
    <x v="2"/>
    <x v="1"/>
    <n v="315"/>
    <x v="1"/>
  </r>
  <r>
    <n v="1041"/>
    <s v="Roberto Sy Ocampo"/>
    <x v="1"/>
    <s v="Other"/>
    <n v="32"/>
    <x v="0"/>
    <x v="40"/>
    <x v="2"/>
    <x v="2"/>
    <x v="1"/>
    <n v="720"/>
    <x v="5"/>
  </r>
  <r>
    <n v="1042"/>
    <s v="Morgan Salazar"/>
    <x v="4"/>
    <s v="Other"/>
    <n v="48"/>
    <x v="2"/>
    <x v="41"/>
    <x v="2"/>
    <x v="2"/>
    <x v="1"/>
    <n v="615"/>
    <x v="5"/>
  </r>
  <r>
    <n v="1043"/>
    <s v="Olive Guevarra"/>
    <x v="1"/>
    <s v="Female"/>
    <n v="48"/>
    <x v="2"/>
    <x v="42"/>
    <x v="2"/>
    <x v="2"/>
    <x v="1"/>
    <n v="3092"/>
    <x v="8"/>
  </r>
  <r>
    <n v="1044"/>
    <s v="Joselito Obispo"/>
    <x v="5"/>
    <s v="Male"/>
    <n v="44"/>
    <x v="2"/>
    <x v="43"/>
    <x v="22"/>
    <x v="7"/>
    <x v="0"/>
    <n v="766"/>
    <x v="7"/>
  </r>
  <r>
    <n v="1045"/>
    <s v="Pete Rivera Flores"/>
    <x v="0"/>
    <s v="Male"/>
    <n v="41"/>
    <x v="2"/>
    <x v="44"/>
    <x v="2"/>
    <x v="2"/>
    <x v="1"/>
    <n v="1450"/>
    <x v="4"/>
  </r>
  <r>
    <n v="1046"/>
    <s v="Alex Sy Sia"/>
    <x v="5"/>
    <s v="Other"/>
    <n v="57"/>
    <x v="1"/>
    <x v="45"/>
    <x v="2"/>
    <x v="2"/>
    <x v="1"/>
    <n v="1866"/>
    <x v="2"/>
  </r>
  <r>
    <n v="1047"/>
    <s v="Marcelo Lopez Cueto"/>
    <x v="2"/>
    <s v="Male"/>
    <n v="41"/>
    <x v="2"/>
    <x v="46"/>
    <x v="2"/>
    <x v="2"/>
    <x v="1"/>
    <n v="1194"/>
    <x v="4"/>
  </r>
  <r>
    <n v="1048"/>
    <s v="Rosalinda Castro Figueroa"/>
    <x v="5"/>
    <s v="Female"/>
    <n v="42"/>
    <x v="2"/>
    <x v="47"/>
    <x v="2"/>
    <x v="2"/>
    <x v="1"/>
    <n v="2716"/>
    <x v="3"/>
  </r>
  <r>
    <n v="1049"/>
    <s v="Gloria Castro Roque"/>
    <x v="1"/>
    <s v="Female"/>
    <n v="51"/>
    <x v="1"/>
    <x v="48"/>
    <x v="2"/>
    <x v="2"/>
    <x v="1"/>
    <n v="595"/>
    <x v="5"/>
  </r>
  <r>
    <n v="1050"/>
    <s v="Ronaldo Go Estrada"/>
    <x v="5"/>
    <s v="Male"/>
    <n v="46"/>
    <x v="2"/>
    <x v="49"/>
    <x v="23"/>
    <x v="0"/>
    <x v="0"/>
    <n v="1498"/>
    <x v="0"/>
  </r>
  <r>
    <n v="1051"/>
    <s v="Sue Uy Perez"/>
    <x v="1"/>
    <s v="Female"/>
    <n v="28"/>
    <x v="3"/>
    <x v="50"/>
    <x v="24"/>
    <x v="7"/>
    <x v="0"/>
    <n v="1041"/>
    <x v="7"/>
  </r>
  <r>
    <n v="1052"/>
    <s v="Rowena Natividad"/>
    <x v="0"/>
    <s v="Other"/>
    <n v="53"/>
    <x v="1"/>
    <x v="51"/>
    <x v="2"/>
    <x v="2"/>
    <x v="1"/>
    <n v="1351"/>
    <x v="4"/>
  </r>
  <r>
    <n v="1053"/>
    <s v="Vicente Mercado Delmendo"/>
    <x v="5"/>
    <s v="Male"/>
    <n v="37"/>
    <x v="0"/>
    <x v="52"/>
    <x v="2"/>
    <x v="2"/>
    <x v="1"/>
    <n v="2086"/>
    <x v="2"/>
  </r>
  <r>
    <n v="1054"/>
    <s v="Rowena Rivera Ramirez"/>
    <x v="4"/>
    <s v="Female"/>
    <n v="39"/>
    <x v="0"/>
    <x v="53"/>
    <x v="25"/>
    <x v="3"/>
    <x v="0"/>
    <n v="744"/>
    <x v="7"/>
  </r>
  <r>
    <n v="1055"/>
    <s v="Gloria Flores Suarez"/>
    <x v="5"/>
    <s v="Other"/>
    <n v="25"/>
    <x v="3"/>
    <x v="54"/>
    <x v="2"/>
    <x v="2"/>
    <x v="1"/>
    <n v="1399"/>
    <x v="4"/>
  </r>
  <r>
    <n v="1056"/>
    <s v="Ivan Sia"/>
    <x v="2"/>
    <s v="Male"/>
    <n v="58"/>
    <x v="1"/>
    <x v="55"/>
    <x v="26"/>
    <x v="5"/>
    <x v="0"/>
    <n v="187"/>
    <x v="1"/>
  </r>
  <r>
    <n v="1057"/>
    <s v="Gloria Quiambao"/>
    <x v="2"/>
    <s v="Other"/>
    <n v="47"/>
    <x v="2"/>
    <x v="56"/>
    <x v="2"/>
    <x v="2"/>
    <x v="1"/>
    <n v="894"/>
    <x v="7"/>
  </r>
  <r>
    <n v="1058"/>
    <s v="Vanessa Go Obispo"/>
    <x v="0"/>
    <s v="Female"/>
    <n v="52"/>
    <x v="1"/>
    <x v="57"/>
    <x v="2"/>
    <x v="2"/>
    <x v="1"/>
    <n v="2980"/>
    <x v="8"/>
  </r>
  <r>
    <n v="1059"/>
    <s v="Lourdes Lozano"/>
    <x v="3"/>
    <s v="Other"/>
    <n v="55"/>
    <x v="1"/>
    <x v="58"/>
    <x v="2"/>
    <x v="2"/>
    <x v="1"/>
    <n v="2988"/>
    <x v="8"/>
  </r>
  <r>
    <n v="1060"/>
    <s v="Elmer Buenaventura"/>
    <x v="1"/>
    <s v="Male"/>
    <n v="64"/>
    <x v="4"/>
    <x v="59"/>
    <x v="27"/>
    <x v="6"/>
    <x v="0"/>
    <n v="1642"/>
    <x v="0"/>
  </r>
  <r>
    <n v="1061"/>
    <s v="Elena Cruz"/>
    <x v="4"/>
    <s v="Other"/>
    <n v="47"/>
    <x v="2"/>
    <x v="60"/>
    <x v="2"/>
    <x v="2"/>
    <x v="1"/>
    <n v="2065"/>
    <x v="2"/>
  </r>
  <r>
    <n v="1062"/>
    <s v="Eduardo Vega"/>
    <x v="1"/>
    <s v="Other"/>
    <n v="35"/>
    <x v="0"/>
    <x v="61"/>
    <x v="28"/>
    <x v="1"/>
    <x v="0"/>
    <n v="110"/>
    <x v="1"/>
  </r>
  <r>
    <n v="1063"/>
    <s v="Violeta Torres Ignacio"/>
    <x v="0"/>
    <s v="Female"/>
    <n v="51"/>
    <x v="1"/>
    <x v="62"/>
    <x v="29"/>
    <x v="0"/>
    <x v="0"/>
    <n v="332"/>
    <x v="1"/>
  </r>
  <r>
    <n v="1064"/>
    <s v="Grace Macapagal"/>
    <x v="5"/>
    <s v="Female"/>
    <n v="40"/>
    <x v="2"/>
    <x v="63"/>
    <x v="2"/>
    <x v="2"/>
    <x v="1"/>
    <n v="2656"/>
    <x v="3"/>
  </r>
  <r>
    <n v="1065"/>
    <s v="Renato Lopez"/>
    <x v="3"/>
    <s v="Male"/>
    <n v="33"/>
    <x v="0"/>
    <x v="64"/>
    <x v="2"/>
    <x v="2"/>
    <x v="1"/>
    <n v="2787"/>
    <x v="3"/>
  </r>
  <r>
    <n v="1066"/>
    <s v="Efren Santiago Fajardo"/>
    <x v="4"/>
    <s v="Other"/>
    <n v="28"/>
    <x v="3"/>
    <x v="65"/>
    <x v="2"/>
    <x v="2"/>
    <x v="1"/>
    <n v="780"/>
    <x v="7"/>
  </r>
  <r>
    <n v="1067"/>
    <s v="Ronaldo Lacson"/>
    <x v="1"/>
    <s v="Male"/>
    <n v="21"/>
    <x v="3"/>
    <x v="66"/>
    <x v="2"/>
    <x v="2"/>
    <x v="1"/>
    <n v="1378"/>
    <x v="4"/>
  </r>
  <r>
    <n v="1068"/>
    <s v="Fernando Solis"/>
    <x v="0"/>
    <s v="Other"/>
    <n v="30"/>
    <x v="0"/>
    <x v="67"/>
    <x v="30"/>
    <x v="4"/>
    <x v="0"/>
    <n v="1158"/>
    <x v="4"/>
  </r>
  <r>
    <n v="1069"/>
    <s v="Danilo Ang"/>
    <x v="0"/>
    <s v="Male"/>
    <n v="48"/>
    <x v="2"/>
    <x v="68"/>
    <x v="31"/>
    <x v="3"/>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63"/>
    <x v="4"/>
  </r>
  <r>
    <n v="1073"/>
    <s v="Samuel Vega Del Rosario"/>
    <x v="4"/>
    <s v="Male"/>
    <n v="51"/>
    <x v="1"/>
    <x v="72"/>
    <x v="2"/>
    <x v="2"/>
    <x v="1"/>
    <n v="831"/>
    <x v="7"/>
  </r>
  <r>
    <n v="1074"/>
    <s v="Leonora Rivera"/>
    <x v="5"/>
    <s v="Female"/>
    <n v="55"/>
    <x v="1"/>
    <x v="73"/>
    <x v="34"/>
    <x v="6"/>
    <x v="0"/>
    <n v="878"/>
    <x v="7"/>
  </r>
  <r>
    <n v="1075"/>
    <s v="Aldrin Soriano Lim"/>
    <x v="4"/>
    <s v="Male"/>
    <n v="54"/>
    <x v="1"/>
    <x v="74"/>
    <x v="35"/>
    <x v="3"/>
    <x v="0"/>
    <n v="192"/>
    <x v="1"/>
  </r>
  <r>
    <n v="1076"/>
    <s v="Pete Chua"/>
    <x v="1"/>
    <s v="Male"/>
    <n v="38"/>
    <x v="0"/>
    <x v="75"/>
    <x v="2"/>
    <x v="2"/>
    <x v="1"/>
    <n v="2912"/>
    <x v="3"/>
  </r>
  <r>
    <n v="1077"/>
    <s v="Maricel Uy Co"/>
    <x v="1"/>
    <s v="Other"/>
    <n v="52"/>
    <x v="1"/>
    <x v="76"/>
    <x v="2"/>
    <x v="2"/>
    <x v="1"/>
    <n v="2678"/>
    <x v="3"/>
  </r>
  <r>
    <n v="1078"/>
    <s v="Jordan Macapagal"/>
    <x v="4"/>
    <s v="Other"/>
    <n v="37"/>
    <x v="0"/>
    <x v="77"/>
    <x v="36"/>
    <x v="5"/>
    <x v="0"/>
    <n v="223"/>
    <x v="1"/>
  </r>
  <r>
    <n v="1079"/>
    <s v="Yvonne Ramirez Quiambao"/>
    <x v="1"/>
    <s v="Female"/>
    <n v="57"/>
    <x v="1"/>
    <x v="78"/>
    <x v="37"/>
    <x v="0"/>
    <x v="0"/>
    <n v="598"/>
    <x v="5"/>
  </r>
  <r>
    <n v="1080"/>
    <s v="Samuel Bautista Yap"/>
    <x v="5"/>
    <s v="Male"/>
    <n v="49"/>
    <x v="2"/>
    <x v="79"/>
    <x v="2"/>
    <x v="2"/>
    <x v="1"/>
    <n v="1881"/>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0"/>
    <x v="5"/>
  </r>
  <r>
    <n v="1084"/>
    <s v="Maricel Go Co"/>
    <x v="5"/>
    <s v="Other"/>
    <n v="30"/>
    <x v="0"/>
    <x v="83"/>
    <x v="40"/>
    <x v="7"/>
    <x v="0"/>
    <n v="1349"/>
    <x v="4"/>
  </r>
  <r>
    <n v="1085"/>
    <s v="Luisa Sy Ramos"/>
    <x v="5"/>
    <s v="Other"/>
    <n v="38"/>
    <x v="0"/>
    <x v="84"/>
    <x v="2"/>
    <x v="2"/>
    <x v="1"/>
    <n v="1049"/>
    <x v="7"/>
  </r>
  <r>
    <n v="1086"/>
    <s v="Ulysses Gonzales Macapagal"/>
    <x v="5"/>
    <s v="Male"/>
    <n v="22"/>
    <x v="3"/>
    <x v="85"/>
    <x v="41"/>
    <x v="4"/>
    <x v="0"/>
    <n v="174"/>
    <x v="1"/>
  </r>
  <r>
    <n v="1087"/>
    <s v="Timothy Zulueta"/>
    <x v="0"/>
    <s v="Male"/>
    <n v="38"/>
    <x v="0"/>
    <x v="86"/>
    <x v="2"/>
    <x v="2"/>
    <x v="1"/>
    <n v="2355"/>
    <x v="6"/>
  </r>
  <r>
    <n v="1088"/>
    <s v="Francis Bondoc"/>
    <x v="3"/>
    <s v="Male"/>
    <n v="47"/>
    <x v="2"/>
    <x v="87"/>
    <x v="42"/>
    <x v="3"/>
    <x v="0"/>
    <n v="304"/>
    <x v="1"/>
  </r>
  <r>
    <n v="1089"/>
    <s v="Rodel Tan Go"/>
    <x v="4"/>
    <s v="Other"/>
    <n v="56"/>
    <x v="1"/>
    <x v="88"/>
    <x v="2"/>
    <x v="2"/>
    <x v="1"/>
    <n v="2948"/>
    <x v="8"/>
  </r>
  <r>
    <n v="1090"/>
    <s v="Carmen Santiago Bondoc"/>
    <x v="2"/>
    <s v="Other"/>
    <n v="21"/>
    <x v="3"/>
    <x v="89"/>
    <x v="2"/>
    <x v="2"/>
    <x v="1"/>
    <n v="405"/>
    <x v="5"/>
  </r>
  <r>
    <n v="1091"/>
    <s v="Victor Reyes Jimenez"/>
    <x v="0"/>
    <s v="Male"/>
    <n v="49"/>
    <x v="2"/>
    <x v="90"/>
    <x v="43"/>
    <x v="4"/>
    <x v="0"/>
    <n v="626"/>
    <x v="5"/>
  </r>
  <r>
    <n v="1092"/>
    <s v="Danilo Tan"/>
    <x v="3"/>
    <s v="Male"/>
    <n v="36"/>
    <x v="0"/>
    <x v="91"/>
    <x v="44"/>
    <x v="8"/>
    <x v="0"/>
    <n v="146"/>
    <x v="1"/>
  </r>
  <r>
    <n v="1093"/>
    <s v="Ian Aguilar Miranda"/>
    <x v="3"/>
    <s v="Male"/>
    <n v="28"/>
    <x v="3"/>
    <x v="92"/>
    <x v="2"/>
    <x v="2"/>
    <x v="1"/>
    <n v="445"/>
    <x v="5"/>
  </r>
  <r>
    <n v="1094"/>
    <s v="Diosdado Ramos Salazar"/>
    <x v="4"/>
    <s v="Male"/>
    <n v="51"/>
    <x v="1"/>
    <x v="93"/>
    <x v="2"/>
    <x v="2"/>
    <x v="1"/>
    <n v="2100"/>
    <x v="2"/>
  </r>
  <r>
    <n v="1095"/>
    <s v="Kath Wong"/>
    <x v="2"/>
    <s v="Female"/>
    <n v="47"/>
    <x v="2"/>
    <x v="94"/>
    <x v="2"/>
    <x v="2"/>
    <x v="1"/>
    <n v="1706"/>
    <x v="0"/>
  </r>
  <r>
    <n v="1096"/>
    <s v="Ivy Chan Domingo"/>
    <x v="4"/>
    <s v="Female"/>
    <n v="58"/>
    <x v="1"/>
    <x v="95"/>
    <x v="2"/>
    <x v="2"/>
    <x v="1"/>
    <n v="723"/>
    <x v="5"/>
  </r>
  <r>
    <n v="1097"/>
    <s v="Elmer Diaz"/>
    <x v="4"/>
    <s v="Male"/>
    <n v="55"/>
    <x v="1"/>
    <x v="96"/>
    <x v="2"/>
    <x v="2"/>
    <x v="1"/>
    <n v="1553"/>
    <x v="0"/>
  </r>
  <r>
    <n v="1098"/>
    <s v="Leonard Salazar"/>
    <x v="1"/>
    <s v="Male"/>
    <n v="47"/>
    <x v="2"/>
    <x v="97"/>
    <x v="45"/>
    <x v="1"/>
    <x v="0"/>
    <n v="2027"/>
    <x v="2"/>
  </r>
  <r>
    <n v="1099"/>
    <s v="Bernardo Bagtas"/>
    <x v="2"/>
    <s v="Male"/>
    <n v="30"/>
    <x v="0"/>
    <x v="98"/>
    <x v="2"/>
    <x v="2"/>
    <x v="1"/>
    <n v="1070"/>
    <x v="7"/>
  </r>
  <r>
    <n v="1100"/>
    <s v="Eva Reyes"/>
    <x v="4"/>
    <s v="Female"/>
    <n v="49"/>
    <x v="2"/>
    <x v="99"/>
    <x v="2"/>
    <x v="2"/>
    <x v="1"/>
    <n v="2690"/>
    <x v="3"/>
  </r>
  <r>
    <n v="1101"/>
    <s v="Teodoro Buenaventura"/>
    <x v="4"/>
    <s v="Male"/>
    <n v="30"/>
    <x v="0"/>
    <x v="100"/>
    <x v="2"/>
    <x v="2"/>
    <x v="1"/>
    <n v="2792"/>
    <x v="3"/>
  </r>
  <r>
    <n v="1102"/>
    <s v="Rachel Macaraeg"/>
    <x v="4"/>
    <s v="Female"/>
    <n v="42"/>
    <x v="2"/>
    <x v="101"/>
    <x v="2"/>
    <x v="2"/>
    <x v="1"/>
    <n v="336"/>
    <x v="1"/>
  </r>
  <r>
    <n v="1103"/>
    <s v="Patricio Valencia"/>
    <x v="2"/>
    <s v="Male"/>
    <n v="55"/>
    <x v="1"/>
    <x v="102"/>
    <x v="2"/>
    <x v="2"/>
    <x v="1"/>
    <n v="2951"/>
    <x v="8"/>
  </r>
  <r>
    <n v="1104"/>
    <s v="Lourdes Soriano Manalo"/>
    <x v="4"/>
    <s v="Female"/>
    <n v="26"/>
    <x v="3"/>
    <x v="103"/>
    <x v="2"/>
    <x v="2"/>
    <x v="1"/>
    <n v="1321"/>
    <x v="4"/>
  </r>
  <r>
    <n v="1105"/>
    <s v="Nena Gonzales Bondoc"/>
    <x v="3"/>
    <s v="Female"/>
    <n v="24"/>
    <x v="3"/>
    <x v="104"/>
    <x v="46"/>
    <x v="0"/>
    <x v="0"/>
    <n v="972"/>
    <x v="7"/>
  </r>
  <r>
    <n v="1106"/>
    <s v="Jessa Go Narvasa"/>
    <x v="1"/>
    <s v="Female"/>
    <n v="45"/>
    <x v="2"/>
    <x v="105"/>
    <x v="2"/>
    <x v="2"/>
    <x v="1"/>
    <n v="560"/>
    <x v="5"/>
  </r>
  <r>
    <n v="1107"/>
    <s v="Oscar Vega Aguilar"/>
    <x v="0"/>
    <s v="Male"/>
    <n v="21"/>
    <x v="3"/>
    <x v="106"/>
    <x v="2"/>
    <x v="2"/>
    <x v="1"/>
    <n v="1193"/>
    <x v="4"/>
  </r>
  <r>
    <n v="1108"/>
    <s v="Sarah Rivera Umali"/>
    <x v="3"/>
    <s v="Female"/>
    <n v="48"/>
    <x v="2"/>
    <x v="107"/>
    <x v="47"/>
    <x v="0"/>
    <x v="0"/>
    <n v="167"/>
    <x v="1"/>
  </r>
  <r>
    <n v="1109"/>
    <s v="Nathan Bautista Ang"/>
    <x v="0"/>
    <s v="Male"/>
    <n v="39"/>
    <x v="0"/>
    <x v="108"/>
    <x v="2"/>
    <x v="2"/>
    <x v="1"/>
    <n v="3009"/>
    <x v="8"/>
  </r>
  <r>
    <n v="1110"/>
    <s v="Efren Tan"/>
    <x v="3"/>
    <s v="Other"/>
    <n v="39"/>
    <x v="0"/>
    <x v="109"/>
    <x v="2"/>
    <x v="2"/>
    <x v="1"/>
    <n v="2156"/>
    <x v="2"/>
  </r>
  <r>
    <n v="1111"/>
    <s v="Christian Santiago Manalo"/>
    <x v="0"/>
    <s v="Male"/>
    <n v="29"/>
    <x v="3"/>
    <x v="110"/>
    <x v="48"/>
    <x v="7"/>
    <x v="0"/>
    <n v="411"/>
    <x v="5"/>
  </r>
  <r>
    <n v="1112"/>
    <s v="Jacqueline Santiago Vega"/>
    <x v="5"/>
    <s v="Female"/>
    <n v="39"/>
    <x v="0"/>
    <x v="111"/>
    <x v="2"/>
    <x v="2"/>
    <x v="1"/>
    <n v="1760"/>
    <x v="0"/>
  </r>
  <r>
    <n v="1113"/>
    <s v="Elena Chua"/>
    <x v="0"/>
    <s v="Other"/>
    <n v="31"/>
    <x v="0"/>
    <x v="112"/>
    <x v="2"/>
    <x v="2"/>
    <x v="1"/>
    <n v="2046"/>
    <x v="2"/>
  </r>
  <r>
    <n v="1114"/>
    <s v="Pacita Figueroa"/>
    <x v="4"/>
    <s v="Female"/>
    <n v="25"/>
    <x v="3"/>
    <x v="113"/>
    <x v="2"/>
    <x v="2"/>
    <x v="1"/>
    <n v="2522"/>
    <x v="6"/>
  </r>
  <r>
    <n v="1115"/>
    <s v="Gloria Domingo Castro"/>
    <x v="3"/>
    <s v="Other"/>
    <n v="56"/>
    <x v="1"/>
    <x v="114"/>
    <x v="49"/>
    <x v="0"/>
    <x v="0"/>
    <n v="898"/>
    <x v="7"/>
  </r>
  <r>
    <n v="1116"/>
    <s v="Elena Bautista"/>
    <x v="0"/>
    <s v="Other"/>
    <n v="44"/>
    <x v="2"/>
    <x v="115"/>
    <x v="2"/>
    <x v="2"/>
    <x v="1"/>
    <n v="2655"/>
    <x v="3"/>
  </r>
  <r>
    <n v="1117"/>
    <s v="Bryan Ramos Corpuz"/>
    <x v="3"/>
    <s v="Male"/>
    <n v="35"/>
    <x v="0"/>
    <x v="116"/>
    <x v="50"/>
    <x v="3"/>
    <x v="0"/>
    <n v="327"/>
    <x v="1"/>
  </r>
  <r>
    <n v="1118"/>
    <s v="Patricia Enriquez"/>
    <x v="1"/>
    <s v="Female"/>
    <n v="52"/>
    <x v="1"/>
    <x v="117"/>
    <x v="51"/>
    <x v="5"/>
    <x v="0"/>
    <n v="645"/>
    <x v="5"/>
  </r>
  <r>
    <n v="1119"/>
    <s v="Efren Viray"/>
    <x v="5"/>
    <s v="Male"/>
    <n v="58"/>
    <x v="1"/>
    <x v="118"/>
    <x v="2"/>
    <x v="2"/>
    <x v="1"/>
    <n v="2466"/>
    <x v="6"/>
  </r>
  <r>
    <n v="1120"/>
    <s v="Rosalinda Santiago Evangelista"/>
    <x v="3"/>
    <s v="Female"/>
    <n v="44"/>
    <x v="2"/>
    <x v="119"/>
    <x v="2"/>
    <x v="2"/>
    <x v="1"/>
    <n v="2209"/>
    <x v="6"/>
  </r>
  <r>
    <n v="1121"/>
    <s v="Miguel Castro"/>
    <x v="0"/>
    <s v="Other"/>
    <n v="43"/>
    <x v="2"/>
    <x v="120"/>
    <x v="2"/>
    <x v="2"/>
    <x v="1"/>
    <n v="2850"/>
    <x v="3"/>
  </r>
  <r>
    <n v="1122"/>
    <s v="Rosa Mendoza"/>
    <x v="2"/>
    <s v="Female"/>
    <n v="34"/>
    <x v="0"/>
    <x v="121"/>
    <x v="2"/>
    <x v="2"/>
    <x v="1"/>
    <n v="470"/>
    <x v="5"/>
  </r>
  <r>
    <n v="1123"/>
    <s v="Queenie Mangubat"/>
    <x v="4"/>
    <s v="Female"/>
    <n v="57"/>
    <x v="1"/>
    <x v="122"/>
    <x v="52"/>
    <x v="7"/>
    <x v="0"/>
    <n v="938"/>
    <x v="7"/>
  </r>
  <r>
    <n v="1124"/>
    <s v="Oscar Go"/>
    <x v="2"/>
    <s v="Male"/>
    <n v="38"/>
    <x v="0"/>
    <x v="123"/>
    <x v="2"/>
    <x v="2"/>
    <x v="1"/>
    <n v="2506"/>
    <x v="6"/>
  </r>
  <r>
    <n v="1125"/>
    <s v="Sam Ramos Soriano"/>
    <x v="1"/>
    <s v="Other"/>
    <n v="29"/>
    <x v="3"/>
    <x v="124"/>
    <x v="53"/>
    <x v="7"/>
    <x v="0"/>
    <n v="1064"/>
    <x v="7"/>
  </r>
  <r>
    <n v="1126"/>
    <s v="Jerome Uy Cueto"/>
    <x v="5"/>
    <s v="Male"/>
    <n v="25"/>
    <x v="3"/>
    <x v="125"/>
    <x v="2"/>
    <x v="2"/>
    <x v="1"/>
    <n v="1148"/>
    <x v="4"/>
  </r>
  <r>
    <n v="1127"/>
    <s v="Carmen Bayani"/>
    <x v="0"/>
    <s v="Other"/>
    <n v="23"/>
    <x v="3"/>
    <x v="126"/>
    <x v="2"/>
    <x v="2"/>
    <x v="1"/>
    <n v="400"/>
    <x v="5"/>
  </r>
  <r>
    <n v="1128"/>
    <s v="Gani Miranda"/>
    <x v="1"/>
    <s v="Male"/>
    <n v="46"/>
    <x v="2"/>
    <x v="127"/>
    <x v="2"/>
    <x v="2"/>
    <x v="1"/>
    <n v="1352"/>
    <x v="4"/>
  </r>
  <r>
    <n v="1129"/>
    <s v="Nena Sy Chua"/>
    <x v="1"/>
    <s v="Female"/>
    <n v="30"/>
    <x v="0"/>
    <x v="128"/>
    <x v="54"/>
    <x v="5"/>
    <x v="0"/>
    <n v="1421"/>
    <x v="4"/>
  </r>
  <r>
    <n v="1130"/>
    <s v="Antonio Go Bondoc"/>
    <x v="1"/>
    <s v="Other"/>
    <n v="56"/>
    <x v="1"/>
    <x v="129"/>
    <x v="2"/>
    <x v="2"/>
    <x v="1"/>
    <n v="2218"/>
    <x v="6"/>
  </r>
  <r>
    <n v="1131"/>
    <s v="Cameron Guevarra"/>
    <x v="4"/>
    <s v="Other"/>
    <n v="41"/>
    <x v="2"/>
    <x v="130"/>
    <x v="55"/>
    <x v="5"/>
    <x v="0"/>
    <n v="612"/>
    <x v="5"/>
  </r>
  <r>
    <n v="1132"/>
    <s v="Rowena Diaz Torres"/>
    <x v="1"/>
    <s v="Other"/>
    <n v="26"/>
    <x v="3"/>
    <x v="131"/>
    <x v="56"/>
    <x v="3"/>
    <x v="0"/>
    <n v="853"/>
    <x v="7"/>
  </r>
  <r>
    <n v="1133"/>
    <s v="Zeus Flores Yap"/>
    <x v="5"/>
    <s v="Male"/>
    <n v="48"/>
    <x v="2"/>
    <x v="132"/>
    <x v="2"/>
    <x v="2"/>
    <x v="1"/>
    <n v="2888"/>
    <x v="3"/>
  </r>
  <r>
    <n v="1134"/>
    <s v="Kevin Gonzales"/>
    <x v="1"/>
    <s v="Male"/>
    <n v="27"/>
    <x v="3"/>
    <x v="133"/>
    <x v="2"/>
    <x v="2"/>
    <x v="1"/>
    <n v="1664"/>
    <x v="0"/>
  </r>
  <r>
    <n v="1135"/>
    <s v="Rowena Bautista"/>
    <x v="0"/>
    <s v="Other"/>
    <n v="56"/>
    <x v="1"/>
    <x v="134"/>
    <x v="2"/>
    <x v="2"/>
    <x v="1"/>
    <n v="552"/>
    <x v="5"/>
  </r>
  <r>
    <n v="1136"/>
    <s v="Efren Fernandez Santos"/>
    <x v="5"/>
    <s v="Other"/>
    <n v="22"/>
    <x v="3"/>
    <x v="135"/>
    <x v="57"/>
    <x v="4"/>
    <x v="0"/>
    <n v="1355"/>
    <x v="4"/>
  </r>
  <r>
    <n v="1137"/>
    <s v="Danilo Rivera Del Rosario"/>
    <x v="0"/>
    <s v="Male"/>
    <n v="30"/>
    <x v="0"/>
    <x v="136"/>
    <x v="2"/>
    <x v="2"/>
    <x v="1"/>
    <n v="505"/>
    <x v="5"/>
  </r>
  <r>
    <n v="1138"/>
    <s v="Sonny Bautista Perez"/>
    <x v="4"/>
    <s v="Male"/>
    <n v="44"/>
    <x v="2"/>
    <x v="137"/>
    <x v="2"/>
    <x v="2"/>
    <x v="1"/>
    <n v="1822"/>
    <x v="0"/>
  </r>
  <r>
    <n v="1139"/>
    <s v="Isabel Aguilar Quiambao"/>
    <x v="1"/>
    <s v="Other"/>
    <n v="24"/>
    <x v="3"/>
    <x v="138"/>
    <x v="58"/>
    <x v="7"/>
    <x v="0"/>
    <n v="203"/>
    <x v="1"/>
  </r>
  <r>
    <n v="1140"/>
    <s v="Christian Bautista Garcia"/>
    <x v="1"/>
    <s v="Male"/>
    <n v="43"/>
    <x v="2"/>
    <x v="139"/>
    <x v="59"/>
    <x v="8"/>
    <x v="0"/>
    <n v="1304"/>
    <x v="4"/>
  </r>
  <r>
    <n v="1141"/>
    <s v="Estrella Ang Dalisay"/>
    <x v="1"/>
    <s v="Female"/>
    <n v="34"/>
    <x v="0"/>
    <x v="140"/>
    <x v="2"/>
    <x v="2"/>
    <x v="1"/>
    <n v="2536"/>
    <x v="6"/>
  </r>
  <r>
    <n v="1142"/>
    <s v="Kath Jacinto"/>
    <x v="5"/>
    <s v="Female"/>
    <n v="45"/>
    <x v="2"/>
    <x v="16"/>
    <x v="2"/>
    <x v="2"/>
    <x v="1"/>
    <n v="917"/>
    <x v="7"/>
  </r>
  <r>
    <n v="1143"/>
    <s v="Aileen Lim Macapagal"/>
    <x v="5"/>
    <s v="Female"/>
    <n v="23"/>
    <x v="3"/>
    <x v="141"/>
    <x v="60"/>
    <x v="3"/>
    <x v="0"/>
    <n v="249"/>
    <x v="1"/>
  </r>
  <r>
    <n v="1144"/>
    <s v="Alvin Hernandez"/>
    <x v="4"/>
    <s v="Male"/>
    <n v="41"/>
    <x v="2"/>
    <x v="142"/>
    <x v="2"/>
    <x v="2"/>
    <x v="1"/>
    <n v="2395"/>
    <x v="6"/>
  </r>
  <r>
    <n v="1145"/>
    <s v="Teresa Soriano Ramos"/>
    <x v="1"/>
    <s v="Other"/>
    <n v="36"/>
    <x v="0"/>
    <x v="143"/>
    <x v="2"/>
    <x v="2"/>
    <x v="1"/>
    <n v="1314"/>
    <x v="4"/>
  </r>
  <r>
    <n v="1146"/>
    <s v="Josephine Vega Elegado"/>
    <x v="5"/>
    <s v="Female"/>
    <n v="31"/>
    <x v="0"/>
    <x v="144"/>
    <x v="2"/>
    <x v="2"/>
    <x v="1"/>
    <n v="2786"/>
    <x v="3"/>
  </r>
  <r>
    <n v="1147"/>
    <s v="Cristina Domingo"/>
    <x v="4"/>
    <s v="Other"/>
    <n v="30"/>
    <x v="0"/>
    <x v="145"/>
    <x v="61"/>
    <x v="0"/>
    <x v="0"/>
    <n v="614"/>
    <x v="5"/>
  </r>
  <r>
    <n v="1148"/>
    <s v="Daisy Guevarra"/>
    <x v="5"/>
    <s v="Female"/>
    <n v="52"/>
    <x v="1"/>
    <x v="146"/>
    <x v="2"/>
    <x v="2"/>
    <x v="1"/>
    <n v="1198"/>
    <x v="4"/>
  </r>
  <r>
    <n v="1149"/>
    <s v="Victor Aguilar Valencia"/>
    <x v="0"/>
    <s v="Male"/>
    <n v="41"/>
    <x v="2"/>
    <x v="147"/>
    <x v="62"/>
    <x v="0"/>
    <x v="0"/>
    <n v="315"/>
    <x v="1"/>
  </r>
  <r>
    <n v="1150"/>
    <s v="Antonio Pascual Torres"/>
    <x v="0"/>
    <s v="Male"/>
    <n v="25"/>
    <x v="3"/>
    <x v="148"/>
    <x v="2"/>
    <x v="2"/>
    <x v="1"/>
    <n v="1827"/>
    <x v="2"/>
  </r>
  <r>
    <n v="1151"/>
    <s v="Arnel Cruz Suarez"/>
    <x v="1"/>
    <s v="Other"/>
    <n v="26"/>
    <x v="3"/>
    <x v="149"/>
    <x v="2"/>
    <x v="2"/>
    <x v="1"/>
    <n v="579"/>
    <x v="5"/>
  </r>
  <r>
    <n v="1152"/>
    <s v="Pilar Domingo"/>
    <x v="4"/>
    <s v="Other"/>
    <n v="33"/>
    <x v="0"/>
    <x v="150"/>
    <x v="2"/>
    <x v="2"/>
    <x v="1"/>
    <n v="1782"/>
    <x v="0"/>
  </r>
  <r>
    <n v="1153"/>
    <s v="Jose Uy Garcia"/>
    <x v="4"/>
    <s v="Other"/>
    <n v="42"/>
    <x v="2"/>
    <x v="151"/>
    <x v="2"/>
    <x v="2"/>
    <x v="1"/>
    <n v="2753"/>
    <x v="3"/>
  </r>
  <r>
    <n v="1154"/>
    <s v="Gerald Diaz Figueroa"/>
    <x v="3"/>
    <s v="Male"/>
    <n v="31"/>
    <x v="0"/>
    <x v="152"/>
    <x v="63"/>
    <x v="5"/>
    <x v="0"/>
    <n v="669"/>
    <x v="5"/>
  </r>
  <r>
    <n v="1155"/>
    <s v="Florinda Fernandez Mangubat"/>
    <x v="1"/>
    <s v="Female"/>
    <n v="45"/>
    <x v="2"/>
    <x v="153"/>
    <x v="64"/>
    <x v="7"/>
    <x v="0"/>
    <n v="1834"/>
    <x v="2"/>
  </r>
  <r>
    <n v="1156"/>
    <s v="Rowena Diaz Yap"/>
    <x v="3"/>
    <s v="Female"/>
    <n v="46"/>
    <x v="2"/>
    <x v="154"/>
    <x v="2"/>
    <x v="2"/>
    <x v="1"/>
    <n v="2570"/>
    <x v="3"/>
  </r>
  <r>
    <n v="1157"/>
    <s v="Samuel Santiago Cueto"/>
    <x v="2"/>
    <s v="Male"/>
    <n v="54"/>
    <x v="1"/>
    <x v="47"/>
    <x v="2"/>
    <x v="2"/>
    <x v="1"/>
    <n v="2716"/>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79"/>
    <x v="4"/>
  </r>
  <r>
    <n v="1161"/>
    <s v="Maricel Pascual Manalo"/>
    <x v="3"/>
    <s v="Other"/>
    <n v="33"/>
    <x v="0"/>
    <x v="158"/>
    <x v="2"/>
    <x v="2"/>
    <x v="1"/>
    <n v="1592"/>
    <x v="0"/>
  </r>
  <r>
    <n v="1162"/>
    <s v="Bong Ramirez"/>
    <x v="5"/>
    <s v="Male"/>
    <n v="47"/>
    <x v="2"/>
    <x v="159"/>
    <x v="2"/>
    <x v="2"/>
    <x v="1"/>
    <n v="2435"/>
    <x v="6"/>
  </r>
  <r>
    <n v="1163"/>
    <s v="Larry Lopez Castro"/>
    <x v="1"/>
    <s v="Male"/>
    <n v="44"/>
    <x v="2"/>
    <x v="160"/>
    <x v="2"/>
    <x v="2"/>
    <x v="1"/>
    <n v="827"/>
    <x v="7"/>
  </r>
  <r>
    <n v="1164"/>
    <s v="Efren Tan Bautista"/>
    <x v="4"/>
    <s v="Other"/>
    <n v="30"/>
    <x v="0"/>
    <x v="161"/>
    <x v="67"/>
    <x v="3"/>
    <x v="0"/>
    <n v="544"/>
    <x v="5"/>
  </r>
  <r>
    <n v="1165"/>
    <s v="Joy Pascual Mercado"/>
    <x v="0"/>
    <s v="Female"/>
    <n v="26"/>
    <x v="3"/>
    <x v="162"/>
    <x v="68"/>
    <x v="4"/>
    <x v="0"/>
    <n v="742"/>
    <x v="7"/>
  </r>
  <r>
    <n v="1166"/>
    <s v="Juan Flores Ramos"/>
    <x v="3"/>
    <s v="Male"/>
    <n v="29"/>
    <x v="3"/>
    <x v="163"/>
    <x v="2"/>
    <x v="2"/>
    <x v="1"/>
    <n v="209"/>
    <x v="1"/>
  </r>
  <r>
    <n v="1167"/>
    <s v="Roberto Go Sy"/>
    <x v="2"/>
    <s v="Male"/>
    <n v="53"/>
    <x v="1"/>
    <x v="164"/>
    <x v="69"/>
    <x v="6"/>
    <x v="0"/>
    <n v="680"/>
    <x v="5"/>
  </r>
  <r>
    <n v="1168"/>
    <s v="Pilar Fernandez Macapagal"/>
    <x v="1"/>
    <s v="Other"/>
    <n v="52"/>
    <x v="1"/>
    <x v="74"/>
    <x v="2"/>
    <x v="2"/>
    <x v="1"/>
    <n v="654"/>
    <x v="5"/>
  </r>
  <r>
    <n v="1169"/>
    <s v="Kristina Enriquez"/>
    <x v="4"/>
    <s v="Female"/>
    <n v="43"/>
    <x v="2"/>
    <x v="165"/>
    <x v="2"/>
    <x v="2"/>
    <x v="1"/>
    <n v="2113"/>
    <x v="2"/>
  </r>
  <r>
    <n v="1170"/>
    <s v="Jimmy Chan Hilario"/>
    <x v="0"/>
    <s v="Male"/>
    <n v="54"/>
    <x v="1"/>
    <x v="166"/>
    <x v="2"/>
    <x v="2"/>
    <x v="1"/>
    <n v="870"/>
    <x v="7"/>
  </r>
  <r>
    <n v="1171"/>
    <s v="Ivan Mendoza Aquino"/>
    <x v="1"/>
    <s v="Male"/>
    <n v="44"/>
    <x v="2"/>
    <x v="167"/>
    <x v="2"/>
    <x v="2"/>
    <x v="1"/>
    <n v="2060"/>
    <x v="2"/>
  </r>
  <r>
    <n v="1172"/>
    <s v="Jose Chan Guevarra"/>
    <x v="5"/>
    <s v="Other"/>
    <n v="42"/>
    <x v="2"/>
    <x v="168"/>
    <x v="70"/>
    <x v="3"/>
    <x v="0"/>
    <n v="1476"/>
    <x v="0"/>
  </r>
  <r>
    <n v="1173"/>
    <s v="Miguel Soriano Garcia"/>
    <x v="0"/>
    <s v="Other"/>
    <n v="25"/>
    <x v="3"/>
    <x v="169"/>
    <x v="71"/>
    <x v="0"/>
    <x v="0"/>
    <n v="502"/>
    <x v="5"/>
  </r>
  <r>
    <n v="1174"/>
    <s v="Danilo Santiago Wong"/>
    <x v="0"/>
    <s v="Other"/>
    <n v="51"/>
    <x v="1"/>
    <x v="170"/>
    <x v="72"/>
    <x v="6"/>
    <x v="0"/>
    <n v="481"/>
    <x v="5"/>
  </r>
  <r>
    <n v="1175"/>
    <s v="Ian Ignacio"/>
    <x v="4"/>
    <s v="Male"/>
    <n v="49"/>
    <x v="2"/>
    <x v="171"/>
    <x v="73"/>
    <x v="8"/>
    <x v="0"/>
    <n v="472"/>
    <x v="5"/>
  </r>
  <r>
    <n v="1176"/>
    <s v="Jose Mendoza Guerrero"/>
    <x v="0"/>
    <s v="Other"/>
    <n v="48"/>
    <x v="2"/>
    <x v="172"/>
    <x v="2"/>
    <x v="2"/>
    <x v="1"/>
    <n v="2775"/>
    <x v="3"/>
  </r>
  <r>
    <n v="1177"/>
    <s v="Samuel Pascual"/>
    <x v="1"/>
    <s v="Male"/>
    <n v="40"/>
    <x v="2"/>
    <x v="173"/>
    <x v="2"/>
    <x v="2"/>
    <x v="1"/>
    <n v="1272"/>
    <x v="4"/>
  </r>
  <r>
    <n v="1178"/>
    <s v="Celine Zulueta"/>
    <x v="4"/>
    <s v="Female"/>
    <n v="43"/>
    <x v="2"/>
    <x v="174"/>
    <x v="2"/>
    <x v="2"/>
    <x v="1"/>
    <n v="580"/>
    <x v="5"/>
  </r>
  <r>
    <n v="1179"/>
    <s v="Herminia Uy Bautista"/>
    <x v="3"/>
    <s v="Female"/>
    <n v="46"/>
    <x v="2"/>
    <x v="175"/>
    <x v="2"/>
    <x v="2"/>
    <x v="1"/>
    <n v="1610"/>
    <x v="0"/>
  </r>
  <r>
    <n v="1180"/>
    <s v="Tess Ocampo"/>
    <x v="1"/>
    <s v="Female"/>
    <n v="44"/>
    <x v="2"/>
    <x v="176"/>
    <x v="2"/>
    <x v="2"/>
    <x v="1"/>
    <n v="1615"/>
    <x v="0"/>
  </r>
  <r>
    <n v="1181"/>
    <s v="Maricel Tan Ramirez"/>
    <x v="5"/>
    <s v="Other"/>
    <n v="44"/>
    <x v="2"/>
    <x v="177"/>
    <x v="2"/>
    <x v="2"/>
    <x v="1"/>
    <n v="1280"/>
    <x v="4"/>
  </r>
  <r>
    <n v="1182"/>
    <s v="Jessa Torres Delmendo"/>
    <x v="4"/>
    <s v="Female"/>
    <n v="28"/>
    <x v="3"/>
    <x v="178"/>
    <x v="2"/>
    <x v="2"/>
    <x v="1"/>
    <n v="2992"/>
    <x v="8"/>
  </r>
  <r>
    <n v="1183"/>
    <s v="Diana Hernandez"/>
    <x v="4"/>
    <s v="Female"/>
    <n v="49"/>
    <x v="2"/>
    <x v="179"/>
    <x v="2"/>
    <x v="2"/>
    <x v="1"/>
    <n v="2220"/>
    <x v="6"/>
  </r>
  <r>
    <n v="1184"/>
    <s v="Hope Ocampo Enriquez"/>
    <x v="0"/>
    <s v="Female"/>
    <n v="25"/>
    <x v="3"/>
    <x v="180"/>
    <x v="74"/>
    <x v="4"/>
    <x v="0"/>
    <n v="1001"/>
    <x v="7"/>
  </r>
  <r>
    <n v="1185"/>
    <s v="Jacqueline Torres Evangelista"/>
    <x v="0"/>
    <s v="Female"/>
    <n v="40"/>
    <x v="2"/>
    <x v="181"/>
    <x v="2"/>
    <x v="2"/>
    <x v="1"/>
    <n v="2453"/>
    <x v="6"/>
  </r>
  <r>
    <n v="1186"/>
    <s v="Carmen Garcia Hilario"/>
    <x v="3"/>
    <s v="Other"/>
    <n v="36"/>
    <x v="0"/>
    <x v="182"/>
    <x v="75"/>
    <x v="8"/>
    <x v="0"/>
    <n v="657"/>
    <x v="5"/>
  </r>
  <r>
    <n v="1187"/>
    <s v="Paolo Navarro Macapagal"/>
    <x v="1"/>
    <s v="Male"/>
    <n v="51"/>
    <x v="1"/>
    <x v="183"/>
    <x v="2"/>
    <x v="2"/>
    <x v="1"/>
    <n v="945"/>
    <x v="7"/>
  </r>
  <r>
    <n v="1188"/>
    <s v="Ismael Bautista Flores"/>
    <x v="5"/>
    <s v="Male"/>
    <n v="54"/>
    <x v="1"/>
    <x v="184"/>
    <x v="76"/>
    <x v="7"/>
    <x v="0"/>
    <n v="1219"/>
    <x v="4"/>
  </r>
  <r>
    <n v="1189"/>
    <s v="Larry Co"/>
    <x v="2"/>
    <s v="Male"/>
    <n v="40"/>
    <x v="2"/>
    <x v="24"/>
    <x v="77"/>
    <x v="5"/>
    <x v="0"/>
    <n v="1013"/>
    <x v="7"/>
  </r>
  <r>
    <n v="1190"/>
    <s v="Danilo Bagtas"/>
    <x v="4"/>
    <s v="Male"/>
    <n v="56"/>
    <x v="1"/>
    <x v="185"/>
    <x v="78"/>
    <x v="7"/>
    <x v="0"/>
    <n v="710"/>
    <x v="5"/>
  </r>
  <r>
    <n v="1191"/>
    <s v="Bong Buenaventura"/>
    <x v="0"/>
    <s v="Male"/>
    <n v="31"/>
    <x v="0"/>
    <x v="126"/>
    <x v="2"/>
    <x v="2"/>
    <x v="1"/>
    <n v="400"/>
    <x v="5"/>
  </r>
  <r>
    <n v="1192"/>
    <s v="Maricel Camacho"/>
    <x v="0"/>
    <s v="Other"/>
    <n v="22"/>
    <x v="3"/>
    <x v="186"/>
    <x v="79"/>
    <x v="7"/>
    <x v="0"/>
    <n v="1174"/>
    <x v="4"/>
  </r>
  <r>
    <n v="1193"/>
    <s v="Manuel Tan Umali"/>
    <x v="1"/>
    <s v="Other"/>
    <n v="55"/>
    <x v="1"/>
    <x v="187"/>
    <x v="2"/>
    <x v="2"/>
    <x v="1"/>
    <n v="1912"/>
    <x v="2"/>
  </r>
  <r>
    <n v="1194"/>
    <s v="Hazel Fernandez Suarez"/>
    <x v="4"/>
    <s v="Female"/>
    <n v="24"/>
    <x v="3"/>
    <x v="188"/>
    <x v="2"/>
    <x v="2"/>
    <x v="1"/>
    <n v="2451"/>
    <x v="6"/>
  </r>
  <r>
    <n v="1195"/>
    <s v="Taylor Torres Macaraeg"/>
    <x v="4"/>
    <s v="Other"/>
    <n v="43"/>
    <x v="2"/>
    <x v="189"/>
    <x v="80"/>
    <x v="8"/>
    <x v="0"/>
    <n v="848"/>
    <x v="7"/>
  </r>
  <r>
    <n v="1196"/>
    <s v="Yvonne Uy"/>
    <x v="4"/>
    <s v="Female"/>
    <n v="27"/>
    <x v="3"/>
    <x v="190"/>
    <x v="81"/>
    <x v="3"/>
    <x v="0"/>
    <n v="1663"/>
    <x v="0"/>
  </r>
  <r>
    <n v="1197"/>
    <s v="Pilar Soriano Suarez"/>
    <x v="3"/>
    <s v="Other"/>
    <n v="57"/>
    <x v="1"/>
    <x v="191"/>
    <x v="82"/>
    <x v="8"/>
    <x v="0"/>
    <n v="416"/>
    <x v="5"/>
  </r>
  <r>
    <n v="1198"/>
    <s v="Rosalinda Bautista Rivera"/>
    <x v="0"/>
    <s v="Female"/>
    <n v="46"/>
    <x v="2"/>
    <x v="192"/>
    <x v="2"/>
    <x v="2"/>
    <x v="1"/>
    <n v="1028"/>
    <x v="7"/>
  </r>
  <r>
    <n v="1199"/>
    <s v="Ronaldo Domingo Lacson"/>
    <x v="1"/>
    <s v="Male"/>
    <n v="51"/>
    <x v="1"/>
    <x v="193"/>
    <x v="2"/>
    <x v="2"/>
    <x v="1"/>
    <n v="1928"/>
    <x v="2"/>
  </r>
  <r>
    <n v="1200"/>
    <s v="Maricel Pascual Jacinto"/>
    <x v="5"/>
    <s v="Other"/>
    <n v="44"/>
    <x v="2"/>
    <x v="194"/>
    <x v="2"/>
    <x v="2"/>
    <x v="1"/>
    <n v="2913"/>
    <x v="3"/>
  </r>
  <r>
    <n v="1201"/>
    <s v="Joselito Flores"/>
    <x v="1"/>
    <s v="Male"/>
    <n v="56"/>
    <x v="1"/>
    <x v="195"/>
    <x v="2"/>
    <x v="2"/>
    <x v="1"/>
    <n v="1953"/>
    <x v="2"/>
  </r>
  <r>
    <n v="1202"/>
    <s v="Cameron Vega"/>
    <x v="4"/>
    <s v="Other"/>
    <n v="42"/>
    <x v="2"/>
    <x v="196"/>
    <x v="2"/>
    <x v="2"/>
    <x v="1"/>
    <n v="814"/>
    <x v="7"/>
  </r>
  <r>
    <n v="1203"/>
    <s v="Gina Ramos Delmendo"/>
    <x v="4"/>
    <s v="Female"/>
    <n v="23"/>
    <x v="3"/>
    <x v="197"/>
    <x v="2"/>
    <x v="2"/>
    <x v="1"/>
    <n v="2537"/>
    <x v="6"/>
  </r>
  <r>
    <n v="1204"/>
    <s v="Bryan Ang Ong"/>
    <x v="4"/>
    <s v="Male"/>
    <n v="31"/>
    <x v="0"/>
    <x v="198"/>
    <x v="2"/>
    <x v="2"/>
    <x v="1"/>
    <n v="1489"/>
    <x v="0"/>
  </r>
  <r>
    <n v="1205"/>
    <s v="Grace Obispo"/>
    <x v="5"/>
    <s v="Female"/>
    <n v="22"/>
    <x v="3"/>
    <x v="199"/>
    <x v="34"/>
    <x v="4"/>
    <x v="0"/>
    <n v="314"/>
    <x v="1"/>
  </r>
  <r>
    <n v="1206"/>
    <s v="Willy Bautista Macapagal"/>
    <x v="0"/>
    <s v="Male"/>
    <n v="37"/>
    <x v="0"/>
    <x v="200"/>
    <x v="2"/>
    <x v="2"/>
    <x v="1"/>
    <n v="413"/>
    <x v="5"/>
  </r>
  <r>
    <n v="1207"/>
    <s v="Teresita Torres Ocampo"/>
    <x v="0"/>
    <s v="Female"/>
    <n v="45"/>
    <x v="2"/>
    <x v="201"/>
    <x v="2"/>
    <x v="2"/>
    <x v="1"/>
    <n v="2493"/>
    <x v="6"/>
  </r>
  <r>
    <n v="1208"/>
    <s v="Lorenzo Chan Bondoc"/>
    <x v="1"/>
    <s v="Male"/>
    <n v="47"/>
    <x v="2"/>
    <x v="202"/>
    <x v="2"/>
    <x v="2"/>
    <x v="1"/>
    <n v="2478"/>
    <x v="6"/>
  </r>
  <r>
    <n v="1209"/>
    <s v="Elena Gonzales Elegado"/>
    <x v="2"/>
    <s v="Other"/>
    <n v="24"/>
    <x v="3"/>
    <x v="203"/>
    <x v="83"/>
    <x v="8"/>
    <x v="0"/>
    <n v="116"/>
    <x v="1"/>
  </r>
  <r>
    <n v="1210"/>
    <s v="Teodoro Mercado Solis"/>
    <x v="4"/>
    <s v="Male"/>
    <n v="55"/>
    <x v="1"/>
    <x v="21"/>
    <x v="2"/>
    <x v="2"/>
    <x v="1"/>
    <n v="1647"/>
    <x v="0"/>
  </r>
  <r>
    <n v="1211"/>
    <s v="Ivy Aguilar Macaraeg"/>
    <x v="4"/>
    <s v="Female"/>
    <n v="40"/>
    <x v="2"/>
    <x v="204"/>
    <x v="2"/>
    <x v="2"/>
    <x v="1"/>
    <n v="1915"/>
    <x v="2"/>
  </r>
  <r>
    <n v="1212"/>
    <s v="Nathan Manalang"/>
    <x v="4"/>
    <s v="Male"/>
    <n v="55"/>
    <x v="1"/>
    <x v="205"/>
    <x v="2"/>
    <x v="2"/>
    <x v="1"/>
    <n v="1543"/>
    <x v="0"/>
  </r>
  <r>
    <n v="1213"/>
    <s v="Hazel Aguilar Rivera"/>
    <x v="2"/>
    <s v="Female"/>
    <n v="39"/>
    <x v="0"/>
    <x v="172"/>
    <x v="84"/>
    <x v="7"/>
    <x v="0"/>
    <n v="1901"/>
    <x v="2"/>
  </r>
  <r>
    <n v="1214"/>
    <s v="Lourdes Ramirez Sy"/>
    <x v="3"/>
    <s v="Other"/>
    <n v="29"/>
    <x v="3"/>
    <x v="206"/>
    <x v="2"/>
    <x v="2"/>
    <x v="1"/>
    <n v="2651"/>
    <x v="3"/>
  </r>
  <r>
    <n v="1215"/>
    <s v="Lourdes Guevarra"/>
    <x v="0"/>
    <s v="Female"/>
    <n v="47"/>
    <x v="2"/>
    <x v="207"/>
    <x v="2"/>
    <x v="2"/>
    <x v="1"/>
    <n v="1746"/>
    <x v="0"/>
  </r>
  <r>
    <n v="1216"/>
    <s v="Eddie Umali"/>
    <x v="1"/>
    <s v="Male"/>
    <n v="31"/>
    <x v="0"/>
    <x v="208"/>
    <x v="2"/>
    <x v="2"/>
    <x v="1"/>
    <n v="1432"/>
    <x v="4"/>
  </r>
  <r>
    <n v="1217"/>
    <s v="Queenie Fajardo"/>
    <x v="5"/>
    <s v="Female"/>
    <n v="39"/>
    <x v="0"/>
    <x v="209"/>
    <x v="85"/>
    <x v="7"/>
    <x v="0"/>
    <n v="135"/>
    <x v="1"/>
  </r>
  <r>
    <n v="1218"/>
    <s v="Jacqueline Ocampo"/>
    <x v="2"/>
    <s v="Female"/>
    <n v="32"/>
    <x v="0"/>
    <x v="210"/>
    <x v="2"/>
    <x v="2"/>
    <x v="1"/>
    <n v="1387"/>
    <x v="4"/>
  </r>
  <r>
    <n v="1219"/>
    <s v="Francis Ang Co"/>
    <x v="4"/>
    <s v="Male"/>
    <n v="39"/>
    <x v="0"/>
    <x v="211"/>
    <x v="86"/>
    <x v="4"/>
    <x v="0"/>
    <n v="529"/>
    <x v="5"/>
  </r>
  <r>
    <n v="1220"/>
    <s v="Violeta Diaz Miranda"/>
    <x v="2"/>
    <s v="Female"/>
    <n v="64"/>
    <x v="4"/>
    <x v="212"/>
    <x v="87"/>
    <x v="6"/>
    <x v="0"/>
    <n v="320"/>
    <x v="1"/>
  </r>
  <r>
    <n v="1221"/>
    <s v="Oliver Garcia Estrada"/>
    <x v="2"/>
    <s v="Male"/>
    <n v="32"/>
    <x v="0"/>
    <x v="213"/>
    <x v="2"/>
    <x v="2"/>
    <x v="1"/>
    <n v="2380"/>
    <x v="6"/>
  </r>
  <r>
    <n v="1222"/>
    <s v="Sarah Aguilar Sy"/>
    <x v="4"/>
    <s v="Female"/>
    <n v="29"/>
    <x v="3"/>
    <x v="214"/>
    <x v="88"/>
    <x v="0"/>
    <x v="0"/>
    <n v="598"/>
    <x v="5"/>
  </r>
  <r>
    <n v="1223"/>
    <s v="Pilar Soriano Enriquez"/>
    <x v="3"/>
    <s v="Female"/>
    <n v="57"/>
    <x v="1"/>
    <x v="215"/>
    <x v="89"/>
    <x v="1"/>
    <x v="0"/>
    <n v="1562"/>
    <x v="0"/>
  </r>
  <r>
    <n v="1224"/>
    <s v="Antonio Tan"/>
    <x v="1"/>
    <s v="Other"/>
    <n v="40"/>
    <x v="2"/>
    <x v="107"/>
    <x v="90"/>
    <x v="5"/>
    <x v="0"/>
    <n v="165"/>
    <x v="1"/>
  </r>
  <r>
    <n v="1225"/>
    <s v="Eddie Fajardo"/>
    <x v="0"/>
    <s v="Male"/>
    <n v="44"/>
    <x v="2"/>
    <x v="216"/>
    <x v="2"/>
    <x v="2"/>
    <x v="1"/>
    <n v="1395"/>
    <x v="4"/>
  </r>
  <r>
    <n v="1226"/>
    <s v="Ronaldo Villanueva"/>
    <x v="2"/>
    <s v="Other"/>
    <n v="26"/>
    <x v="3"/>
    <x v="217"/>
    <x v="2"/>
    <x v="2"/>
    <x v="1"/>
    <n v="946"/>
    <x v="7"/>
  </r>
  <r>
    <n v="1227"/>
    <s v="Cameron Uy Pascual"/>
    <x v="1"/>
    <s v="Other"/>
    <n v="53"/>
    <x v="1"/>
    <x v="218"/>
    <x v="2"/>
    <x v="2"/>
    <x v="1"/>
    <n v="2270"/>
    <x v="6"/>
  </r>
  <r>
    <n v="1228"/>
    <s v="Pilar Lim Roque"/>
    <x v="1"/>
    <s v="Female"/>
    <n v="58"/>
    <x v="1"/>
    <x v="219"/>
    <x v="91"/>
    <x v="5"/>
    <x v="0"/>
    <n v="612"/>
    <x v="5"/>
  </r>
  <r>
    <n v="1229"/>
    <s v="Rosa Santos Tolentino"/>
    <x v="4"/>
    <s v="Female"/>
    <n v="50"/>
    <x v="1"/>
    <x v="220"/>
    <x v="2"/>
    <x v="2"/>
    <x v="1"/>
    <n v="343"/>
    <x v="1"/>
  </r>
  <r>
    <n v="1230"/>
    <s v="Fernando Aquino"/>
    <x v="5"/>
    <s v="Male"/>
    <n v="23"/>
    <x v="3"/>
    <x v="221"/>
    <x v="92"/>
    <x v="8"/>
    <x v="0"/>
    <n v="220"/>
    <x v="1"/>
  </r>
  <r>
    <n v="1231"/>
    <s v="Yvonne Ignacio"/>
    <x v="0"/>
    <s v="Female"/>
    <n v="32"/>
    <x v="0"/>
    <x v="222"/>
    <x v="2"/>
    <x v="2"/>
    <x v="1"/>
    <n v="2544"/>
    <x v="6"/>
  </r>
  <r>
    <n v="1232"/>
    <s v="Avery Corpuz"/>
    <x v="4"/>
    <s v="Other"/>
    <n v="45"/>
    <x v="2"/>
    <x v="223"/>
    <x v="93"/>
    <x v="3"/>
    <x v="0"/>
    <n v="1445"/>
    <x v="4"/>
  </r>
  <r>
    <n v="1233"/>
    <s v="Sam Sy Sia"/>
    <x v="1"/>
    <s v="Other"/>
    <n v="46"/>
    <x v="2"/>
    <x v="224"/>
    <x v="94"/>
    <x v="3"/>
    <x v="0"/>
    <n v="318"/>
    <x v="1"/>
  </r>
  <r>
    <n v="1234"/>
    <s v="Morgan Ocampo"/>
    <x v="0"/>
    <s v="Other"/>
    <n v="36"/>
    <x v="0"/>
    <x v="225"/>
    <x v="95"/>
    <x v="0"/>
    <x v="0"/>
    <n v="654"/>
    <x v="5"/>
  </r>
  <r>
    <n v="1235"/>
    <s v="Luisa Perez"/>
    <x v="4"/>
    <s v="Other"/>
    <n v="22"/>
    <x v="3"/>
    <x v="165"/>
    <x v="96"/>
    <x v="7"/>
    <x v="0"/>
    <n v="296"/>
    <x v="1"/>
  </r>
  <r>
    <n v="1236"/>
    <s v="Paz Rivera"/>
    <x v="2"/>
    <s v="Female"/>
    <n v="23"/>
    <x v="3"/>
    <x v="226"/>
    <x v="2"/>
    <x v="2"/>
    <x v="1"/>
    <n v="1451"/>
    <x v="4"/>
  </r>
  <r>
    <n v="1237"/>
    <s v="Hope Navarro Macapagal"/>
    <x v="5"/>
    <s v="Female"/>
    <n v="39"/>
    <x v="0"/>
    <x v="227"/>
    <x v="2"/>
    <x v="2"/>
    <x v="1"/>
    <n v="2139"/>
    <x v="2"/>
  </r>
  <r>
    <n v="1238"/>
    <s v="Fernando Gonzales Torres"/>
    <x v="1"/>
    <s v="Other"/>
    <n v="54"/>
    <x v="1"/>
    <x v="228"/>
    <x v="2"/>
    <x v="2"/>
    <x v="1"/>
    <n v="2193"/>
    <x v="6"/>
  </r>
  <r>
    <n v="1239"/>
    <s v="Leonard Lim Elegado"/>
    <x v="0"/>
    <s v="Male"/>
    <n v="52"/>
    <x v="1"/>
    <x v="229"/>
    <x v="2"/>
    <x v="2"/>
    <x v="1"/>
    <n v="2906"/>
    <x v="3"/>
  </r>
  <r>
    <n v="1240"/>
    <s v="Pacita Sia"/>
    <x v="4"/>
    <s v="Female"/>
    <n v="32"/>
    <x v="0"/>
    <x v="230"/>
    <x v="2"/>
    <x v="2"/>
    <x v="1"/>
    <n v="895"/>
    <x v="7"/>
  </r>
  <r>
    <n v="1241"/>
    <s v="Rafael Rivera Jacinto"/>
    <x v="1"/>
    <s v="Male"/>
    <n v="24"/>
    <x v="3"/>
    <x v="231"/>
    <x v="2"/>
    <x v="2"/>
    <x v="1"/>
    <n v="795"/>
    <x v="7"/>
  </r>
  <r>
    <n v="1242"/>
    <s v="Maricel Fajardo"/>
    <x v="4"/>
    <s v="Female"/>
    <n v="26"/>
    <x v="3"/>
    <x v="232"/>
    <x v="2"/>
    <x v="2"/>
    <x v="1"/>
    <n v="1256"/>
    <x v="4"/>
  </r>
  <r>
    <n v="1243"/>
    <s v="Joy Sia"/>
    <x v="1"/>
    <s v="Female"/>
    <n v="23"/>
    <x v="3"/>
    <x v="233"/>
    <x v="97"/>
    <x v="5"/>
    <x v="0"/>
    <n v="978"/>
    <x v="7"/>
  </r>
  <r>
    <n v="1244"/>
    <s v="Cristina Mercado Lazo"/>
    <x v="1"/>
    <s v="Other"/>
    <n v="28"/>
    <x v="3"/>
    <x v="234"/>
    <x v="2"/>
    <x v="2"/>
    <x v="1"/>
    <n v="1137"/>
    <x v="4"/>
  </r>
  <r>
    <n v="1245"/>
    <s v="Efren Ang Yap"/>
    <x v="0"/>
    <s v="Other"/>
    <n v="45"/>
    <x v="2"/>
    <x v="235"/>
    <x v="2"/>
    <x v="2"/>
    <x v="1"/>
    <n v="1189"/>
    <x v="4"/>
  </r>
  <r>
    <n v="1246"/>
    <s v="Ronaldo Ramirez Macaraeg"/>
    <x v="0"/>
    <s v="Other"/>
    <n v="51"/>
    <x v="1"/>
    <x v="236"/>
    <x v="2"/>
    <x v="2"/>
    <x v="1"/>
    <n v="1787"/>
    <x v="0"/>
  </r>
  <r>
    <n v="1247"/>
    <s v="Yvonne Diaz Chua"/>
    <x v="5"/>
    <s v="Female"/>
    <n v="56"/>
    <x v="1"/>
    <x v="237"/>
    <x v="2"/>
    <x v="2"/>
    <x v="1"/>
    <n v="706"/>
    <x v="5"/>
  </r>
  <r>
    <n v="1248"/>
    <s v="Gerald Go"/>
    <x v="1"/>
    <s v="Male"/>
    <n v="36"/>
    <x v="0"/>
    <x v="238"/>
    <x v="2"/>
    <x v="2"/>
    <x v="1"/>
    <n v="1053"/>
    <x v="7"/>
  </r>
  <r>
    <n v="1249"/>
    <s v="Gloria Bautista Viray"/>
    <x v="0"/>
    <s v="Other"/>
    <n v="52"/>
    <x v="1"/>
    <x v="239"/>
    <x v="98"/>
    <x v="0"/>
    <x v="0"/>
    <n v="811"/>
    <x v="7"/>
  </r>
  <r>
    <n v="1250"/>
    <s v="Antonio Aquino"/>
    <x v="0"/>
    <s v="Other"/>
    <n v="25"/>
    <x v="3"/>
    <x v="240"/>
    <x v="99"/>
    <x v="5"/>
    <x v="0"/>
    <n v="93"/>
    <x v="1"/>
  </r>
  <r>
    <n v="1251"/>
    <s v="Ferdi Santos Delos Reyes"/>
    <x v="1"/>
    <s v="Male"/>
    <n v="44"/>
    <x v="2"/>
    <x v="241"/>
    <x v="2"/>
    <x v="2"/>
    <x v="1"/>
    <n v="2851"/>
    <x v="3"/>
  </r>
  <r>
    <n v="1252"/>
    <s v="Neil Sy Co"/>
    <x v="0"/>
    <s v="Male"/>
    <n v="22"/>
    <x v="3"/>
    <x v="242"/>
    <x v="2"/>
    <x v="2"/>
    <x v="1"/>
    <n v="930"/>
    <x v="7"/>
  </r>
  <r>
    <n v="1253"/>
    <s v="Eduardo Diaz"/>
    <x v="2"/>
    <s v="Other"/>
    <n v="27"/>
    <x v="3"/>
    <x v="243"/>
    <x v="2"/>
    <x v="2"/>
    <x v="1"/>
    <n v="2704"/>
    <x v="3"/>
  </r>
  <r>
    <n v="1254"/>
    <s v="Renato Garcia Jimenez"/>
    <x v="4"/>
    <s v="Male"/>
    <n v="46"/>
    <x v="2"/>
    <x v="172"/>
    <x v="100"/>
    <x v="5"/>
    <x v="0"/>
    <n v="1753"/>
    <x v="0"/>
  </r>
  <r>
    <n v="1255"/>
    <s v="Arnel Santos Hilario"/>
    <x v="5"/>
    <s v="Other"/>
    <n v="23"/>
    <x v="3"/>
    <x v="47"/>
    <x v="2"/>
    <x v="2"/>
    <x v="1"/>
    <n v="2716"/>
    <x v="3"/>
  </r>
  <r>
    <n v="1256"/>
    <s v="Tess Fernandez"/>
    <x v="5"/>
    <s v="Female"/>
    <n v="48"/>
    <x v="2"/>
    <x v="244"/>
    <x v="2"/>
    <x v="2"/>
    <x v="1"/>
    <n v="457"/>
    <x v="5"/>
  </r>
  <r>
    <n v="1257"/>
    <s v="Celine Cruz Guerrero"/>
    <x v="3"/>
    <s v="Female"/>
    <n v="57"/>
    <x v="1"/>
    <x v="245"/>
    <x v="101"/>
    <x v="1"/>
    <x v="0"/>
    <n v="242"/>
    <x v="1"/>
  </r>
  <r>
    <n v="1258"/>
    <s v="Maria Mercado Villanueva"/>
    <x v="1"/>
    <s v="Other"/>
    <n v="22"/>
    <x v="3"/>
    <x v="246"/>
    <x v="2"/>
    <x v="2"/>
    <x v="1"/>
    <n v="2250"/>
    <x v="6"/>
  </r>
  <r>
    <n v="1259"/>
    <s v="Avery Hernandez"/>
    <x v="0"/>
    <s v="Other"/>
    <n v="55"/>
    <x v="1"/>
    <x v="247"/>
    <x v="2"/>
    <x v="2"/>
    <x v="1"/>
    <n v="1740"/>
    <x v="0"/>
  </r>
  <r>
    <n v="1260"/>
    <s v="Jordan Buenaventura"/>
    <x v="0"/>
    <s v="Other"/>
    <n v="24"/>
    <x v="3"/>
    <x v="248"/>
    <x v="2"/>
    <x v="2"/>
    <x v="1"/>
    <n v="2698"/>
    <x v="3"/>
  </r>
  <r>
    <n v="1261"/>
    <s v="Warren Rivera Viray"/>
    <x v="0"/>
    <s v="Male"/>
    <n v="41"/>
    <x v="2"/>
    <x v="249"/>
    <x v="2"/>
    <x v="2"/>
    <x v="1"/>
    <n v="2977"/>
    <x v="8"/>
  </r>
  <r>
    <n v="1262"/>
    <s v="Aldrin Uy"/>
    <x v="4"/>
    <s v="Male"/>
    <n v="45"/>
    <x v="2"/>
    <x v="250"/>
    <x v="2"/>
    <x v="2"/>
    <x v="1"/>
    <n v="2747"/>
    <x v="3"/>
  </r>
  <r>
    <n v="1263"/>
    <s v="Grace Aguilar Manalo"/>
    <x v="1"/>
    <s v="Female"/>
    <n v="30"/>
    <x v="0"/>
    <x v="251"/>
    <x v="102"/>
    <x v="0"/>
    <x v="0"/>
    <n v="308"/>
    <x v="1"/>
  </r>
  <r>
    <n v="1264"/>
    <s v="Lea Garcia Bondoc"/>
    <x v="1"/>
    <s v="Female"/>
    <n v="48"/>
    <x v="2"/>
    <x v="252"/>
    <x v="2"/>
    <x v="2"/>
    <x v="1"/>
    <n v="1260"/>
    <x v="4"/>
  </r>
  <r>
    <n v="1265"/>
    <s v="Rowena Obispo"/>
    <x v="4"/>
    <s v="Female"/>
    <n v="41"/>
    <x v="2"/>
    <x v="253"/>
    <x v="103"/>
    <x v="5"/>
    <x v="0"/>
    <n v="937"/>
    <x v="7"/>
  </r>
  <r>
    <n v="1266"/>
    <s v="Fernando Fernandez Sia"/>
    <x v="3"/>
    <s v="Other"/>
    <n v="57"/>
    <x v="1"/>
    <x v="254"/>
    <x v="104"/>
    <x v="0"/>
    <x v="0"/>
    <n v="479"/>
    <x v="5"/>
  </r>
  <r>
    <n v="1267"/>
    <s v="Manuel Mercado Evangelista"/>
    <x v="1"/>
    <s v="Male"/>
    <n v="47"/>
    <x v="2"/>
    <x v="255"/>
    <x v="2"/>
    <x v="2"/>
    <x v="1"/>
    <n v="1871"/>
    <x v="2"/>
  </r>
  <r>
    <n v="1268"/>
    <s v="Nathan Mangubat"/>
    <x v="5"/>
    <s v="Male"/>
    <n v="33"/>
    <x v="0"/>
    <x v="256"/>
    <x v="105"/>
    <x v="0"/>
    <x v="0"/>
    <n v="713"/>
    <x v="5"/>
  </r>
  <r>
    <n v="1269"/>
    <s v="Cristina Castro Ramirez"/>
    <x v="4"/>
    <s v="Other"/>
    <n v="49"/>
    <x v="2"/>
    <x v="257"/>
    <x v="2"/>
    <x v="2"/>
    <x v="1"/>
    <n v="1727"/>
    <x v="0"/>
  </r>
  <r>
    <n v="1270"/>
    <s v="Teresita Tan Dalisay"/>
    <x v="0"/>
    <s v="Female"/>
    <n v="46"/>
    <x v="2"/>
    <x v="258"/>
    <x v="106"/>
    <x v="7"/>
    <x v="0"/>
    <n v="1513"/>
    <x v="0"/>
  </r>
  <r>
    <n v="1271"/>
    <s v="Jose Guevarra"/>
    <x v="4"/>
    <s v="Other"/>
    <n v="33"/>
    <x v="0"/>
    <x v="259"/>
    <x v="2"/>
    <x v="2"/>
    <x v="1"/>
    <n v="673"/>
    <x v="5"/>
  </r>
  <r>
    <n v="1272"/>
    <s v="Jordan Bondoc"/>
    <x v="1"/>
    <s v="Other"/>
    <n v="34"/>
    <x v="0"/>
    <x v="260"/>
    <x v="2"/>
    <x v="2"/>
    <x v="1"/>
    <n v="1303"/>
    <x v="4"/>
  </r>
  <r>
    <n v="1273"/>
    <s v="Gloria Natividad"/>
    <x v="1"/>
    <s v="Female"/>
    <n v="37"/>
    <x v="0"/>
    <x v="261"/>
    <x v="107"/>
    <x v="3"/>
    <x v="0"/>
    <n v="306"/>
    <x v="1"/>
  </r>
  <r>
    <n v="1274"/>
    <s v="Antonio Evangelista"/>
    <x v="0"/>
    <s v="Male"/>
    <n v="53"/>
    <x v="1"/>
    <x v="262"/>
    <x v="2"/>
    <x v="2"/>
    <x v="1"/>
    <n v="265"/>
    <x v="1"/>
  </r>
  <r>
    <n v="1275"/>
    <s v="Ivan Pascual"/>
    <x v="2"/>
    <s v="Male"/>
    <n v="26"/>
    <x v="3"/>
    <x v="206"/>
    <x v="2"/>
    <x v="2"/>
    <x v="1"/>
    <n v="2651"/>
    <x v="3"/>
  </r>
  <r>
    <n v="1276"/>
    <s v="Rosa Domingo Lopez"/>
    <x v="1"/>
    <s v="Other"/>
    <n v="46"/>
    <x v="2"/>
    <x v="247"/>
    <x v="2"/>
    <x v="2"/>
    <x v="1"/>
    <n v="1740"/>
    <x v="0"/>
  </r>
  <r>
    <n v="1277"/>
    <s v="Antonio Go Natividad"/>
    <x v="1"/>
    <s v="Other"/>
    <n v="56"/>
    <x v="1"/>
    <x v="263"/>
    <x v="2"/>
    <x v="2"/>
    <x v="1"/>
    <n v="721"/>
    <x v="5"/>
  </r>
  <r>
    <n v="1278"/>
    <s v="Aldrin Camacho"/>
    <x v="5"/>
    <s v="Male"/>
    <n v="53"/>
    <x v="1"/>
    <x v="264"/>
    <x v="108"/>
    <x v="8"/>
    <x v="0"/>
    <n v="190"/>
    <x v="1"/>
  </r>
  <r>
    <n v="1279"/>
    <s v="Teresa Mendoza Umali"/>
    <x v="1"/>
    <s v="Other"/>
    <n v="30"/>
    <x v="0"/>
    <x v="265"/>
    <x v="109"/>
    <x v="3"/>
    <x v="0"/>
    <n v="1022"/>
    <x v="7"/>
  </r>
  <r>
    <n v="1280"/>
    <s v="Danilo Lopez Bayani"/>
    <x v="4"/>
    <s v="Other"/>
    <n v="41"/>
    <x v="2"/>
    <x v="266"/>
    <x v="110"/>
    <x v="0"/>
    <x v="0"/>
    <n v="561"/>
    <x v="5"/>
  </r>
  <r>
    <n v="1281"/>
    <s v="Danilo Go Jacinto"/>
    <x v="3"/>
    <s v="Other"/>
    <n v="54"/>
    <x v="1"/>
    <x v="267"/>
    <x v="2"/>
    <x v="2"/>
    <x v="1"/>
    <n v="2384"/>
    <x v="6"/>
  </r>
  <r>
    <n v="1282"/>
    <s v="Timothy Castro Tolentino"/>
    <x v="1"/>
    <s v="Male"/>
    <n v="32"/>
    <x v="0"/>
    <x v="268"/>
    <x v="2"/>
    <x v="2"/>
    <x v="1"/>
    <n v="2335"/>
    <x v="6"/>
  </r>
  <r>
    <n v="1283"/>
    <s v="Carlos Gonzales Macapagal"/>
    <x v="4"/>
    <s v="Male"/>
    <n v="21"/>
    <x v="3"/>
    <x v="269"/>
    <x v="111"/>
    <x v="1"/>
    <x v="0"/>
    <n v="125"/>
    <x v="1"/>
  </r>
  <r>
    <n v="1284"/>
    <s v="Ivy Elegado"/>
    <x v="4"/>
    <s v="Female"/>
    <n v="28"/>
    <x v="3"/>
    <x v="270"/>
    <x v="2"/>
    <x v="2"/>
    <x v="1"/>
    <n v="2024"/>
    <x v="2"/>
  </r>
  <r>
    <n v="1285"/>
    <s v="Hernando Figueroa"/>
    <x v="4"/>
    <s v="Male"/>
    <n v="46"/>
    <x v="2"/>
    <x v="271"/>
    <x v="112"/>
    <x v="3"/>
    <x v="0"/>
    <n v="450"/>
    <x v="5"/>
  </r>
  <r>
    <n v="1286"/>
    <s v="Ismael Ignacio"/>
    <x v="4"/>
    <s v="Male"/>
    <n v="53"/>
    <x v="1"/>
    <x v="272"/>
    <x v="113"/>
    <x v="6"/>
    <x v="0"/>
    <n v="120"/>
    <x v="1"/>
  </r>
  <r>
    <n v="1287"/>
    <s v="Ismael Viray"/>
    <x v="0"/>
    <s v="Male"/>
    <n v="29"/>
    <x v="3"/>
    <x v="273"/>
    <x v="2"/>
    <x v="2"/>
    <x v="1"/>
    <n v="744"/>
    <x v="7"/>
  </r>
  <r>
    <n v="1288"/>
    <s v="Dennis Natividad"/>
    <x v="5"/>
    <s v="Male"/>
    <n v="32"/>
    <x v="0"/>
    <x v="274"/>
    <x v="114"/>
    <x v="0"/>
    <x v="0"/>
    <n v="385"/>
    <x v="5"/>
  </r>
  <r>
    <n v="1289"/>
    <s v="Pilar Ang Corpuz"/>
    <x v="2"/>
    <s v="Other"/>
    <n v="52"/>
    <x v="1"/>
    <x v="275"/>
    <x v="65"/>
    <x v="4"/>
    <x v="0"/>
    <n v="1662"/>
    <x v="0"/>
  </r>
  <r>
    <n v="1290"/>
    <s v="Antonio Ramirez Chua"/>
    <x v="4"/>
    <s v="Other"/>
    <n v="52"/>
    <x v="1"/>
    <x v="276"/>
    <x v="115"/>
    <x v="3"/>
    <x v="0"/>
    <n v="216"/>
    <x v="1"/>
  </r>
  <r>
    <n v="1291"/>
    <s v="Jessa Torres Hilario"/>
    <x v="0"/>
    <s v="Female"/>
    <n v="50"/>
    <x v="1"/>
    <x v="277"/>
    <x v="2"/>
    <x v="2"/>
    <x v="1"/>
    <n v="782"/>
    <x v="7"/>
  </r>
  <r>
    <n v="1292"/>
    <s v="Eduardo Flores Obispo"/>
    <x v="4"/>
    <s v="Male"/>
    <n v="44"/>
    <x v="2"/>
    <x v="278"/>
    <x v="2"/>
    <x v="2"/>
    <x v="1"/>
    <n v="878"/>
    <x v="7"/>
  </r>
  <r>
    <n v="1293"/>
    <s v="Carmen Garcia Natividad"/>
    <x v="3"/>
    <s v="Female"/>
    <n v="36"/>
    <x v="0"/>
    <x v="279"/>
    <x v="2"/>
    <x v="2"/>
    <x v="1"/>
    <n v="1879"/>
    <x v="2"/>
  </r>
  <r>
    <n v="1294"/>
    <s v="Lourdes Sy Hernandez"/>
    <x v="4"/>
    <s v="Other"/>
    <n v="36"/>
    <x v="0"/>
    <x v="280"/>
    <x v="2"/>
    <x v="2"/>
    <x v="1"/>
    <n v="2239"/>
    <x v="6"/>
  </r>
  <r>
    <n v="1295"/>
    <s v="Tess Lopez Manalang"/>
    <x v="1"/>
    <s v="Female"/>
    <n v="34"/>
    <x v="0"/>
    <x v="281"/>
    <x v="2"/>
    <x v="2"/>
    <x v="1"/>
    <n v="2251"/>
    <x v="6"/>
  </r>
  <r>
    <n v="1296"/>
    <s v="Taylor Ramirez"/>
    <x v="4"/>
    <s v="Other"/>
    <n v="39"/>
    <x v="0"/>
    <x v="282"/>
    <x v="116"/>
    <x v="4"/>
    <x v="0"/>
    <n v="616"/>
    <x v="5"/>
  </r>
  <r>
    <n v="1297"/>
    <s v="Eduardo Fernandez Figueroa"/>
    <x v="2"/>
    <s v="Other"/>
    <n v="60"/>
    <x v="4"/>
    <x v="283"/>
    <x v="117"/>
    <x v="6"/>
    <x v="0"/>
    <n v="157"/>
    <x v="1"/>
  </r>
  <r>
    <n v="1298"/>
    <s v="Maricel Aguilar Vergara"/>
    <x v="0"/>
    <s v="Female"/>
    <n v="47"/>
    <x v="2"/>
    <x v="284"/>
    <x v="2"/>
    <x v="2"/>
    <x v="1"/>
    <n v="1562"/>
    <x v="0"/>
  </r>
  <r>
    <n v="1299"/>
    <s v="Casey Dela Torre"/>
    <x v="5"/>
    <s v="Other"/>
    <n v="50"/>
    <x v="1"/>
    <x v="285"/>
    <x v="118"/>
    <x v="3"/>
    <x v="0"/>
    <n v="92"/>
    <x v="1"/>
  </r>
  <r>
    <n v="1300"/>
    <s v="Rosa Navarro Rivera"/>
    <x v="0"/>
    <s v="Other"/>
    <n v="25"/>
    <x v="3"/>
    <x v="286"/>
    <x v="2"/>
    <x v="2"/>
    <x v="1"/>
    <n v="909"/>
    <x v="7"/>
  </r>
  <r>
    <n v="1301"/>
    <s v="Gani Buenaventura"/>
    <x v="2"/>
    <s v="Male"/>
    <n v="57"/>
    <x v="1"/>
    <x v="287"/>
    <x v="2"/>
    <x v="2"/>
    <x v="1"/>
    <n v="2564"/>
    <x v="3"/>
  </r>
  <r>
    <n v="1302"/>
    <s v="Maria Ramos Estrada"/>
    <x v="5"/>
    <s v="Female"/>
    <n v="50"/>
    <x v="1"/>
    <x v="288"/>
    <x v="119"/>
    <x v="5"/>
    <x v="0"/>
    <n v="737"/>
    <x v="7"/>
  </r>
  <r>
    <n v="1303"/>
    <s v="Violeta Lopez Ramos"/>
    <x v="2"/>
    <s v="Female"/>
    <n v="38"/>
    <x v="0"/>
    <x v="47"/>
    <x v="2"/>
    <x v="2"/>
    <x v="1"/>
    <n v="2716"/>
    <x v="3"/>
  </r>
  <r>
    <n v="1304"/>
    <s v="Efren Ocampo Santos"/>
    <x v="1"/>
    <s v="Male"/>
    <n v="35"/>
    <x v="0"/>
    <x v="289"/>
    <x v="2"/>
    <x v="2"/>
    <x v="1"/>
    <n v="1340"/>
    <x v="4"/>
  </r>
  <r>
    <n v="1305"/>
    <s v="Aileen Ocampo Hernandez"/>
    <x v="1"/>
    <s v="Female"/>
    <n v="49"/>
    <x v="2"/>
    <x v="290"/>
    <x v="120"/>
    <x v="3"/>
    <x v="0"/>
    <n v="1497"/>
    <x v="0"/>
  </r>
  <r>
    <n v="1306"/>
    <s v="Corazon Bayani"/>
    <x v="1"/>
    <s v="Female"/>
    <n v="27"/>
    <x v="3"/>
    <x v="291"/>
    <x v="121"/>
    <x v="0"/>
    <x v="0"/>
    <n v="1315"/>
    <x v="4"/>
  </r>
  <r>
    <n v="1307"/>
    <s v="Victor Manalang"/>
    <x v="1"/>
    <s v="Male"/>
    <n v="21"/>
    <x v="3"/>
    <x v="292"/>
    <x v="2"/>
    <x v="2"/>
    <x v="1"/>
    <n v="599"/>
    <x v="5"/>
  </r>
  <r>
    <n v="1308"/>
    <s v="Ofelia Dela Cruz"/>
    <x v="0"/>
    <s v="Female"/>
    <n v="47"/>
    <x v="2"/>
    <x v="293"/>
    <x v="2"/>
    <x v="2"/>
    <x v="1"/>
    <n v="575"/>
    <x v="5"/>
  </r>
  <r>
    <n v="1309"/>
    <s v="Hope Garcia Ramirez"/>
    <x v="1"/>
    <s v="Female"/>
    <n v="45"/>
    <x v="2"/>
    <x v="294"/>
    <x v="2"/>
    <x v="2"/>
    <x v="1"/>
    <n v="1659"/>
    <x v="0"/>
  </r>
  <r>
    <n v="1310"/>
    <s v="Bong Tan Cueto"/>
    <x v="4"/>
    <s v="Male"/>
    <n v="39"/>
    <x v="0"/>
    <x v="295"/>
    <x v="122"/>
    <x v="0"/>
    <x v="0"/>
    <n v="167"/>
    <x v="1"/>
  </r>
  <r>
    <n v="1311"/>
    <s v="Rosalinda Zamora"/>
    <x v="4"/>
    <s v="Female"/>
    <n v="36"/>
    <x v="0"/>
    <x v="296"/>
    <x v="2"/>
    <x v="2"/>
    <x v="1"/>
    <n v="1071"/>
    <x v="7"/>
  </r>
  <r>
    <n v="1312"/>
    <s v="Avery Salazar"/>
    <x v="1"/>
    <s v="Other"/>
    <n v="21"/>
    <x v="3"/>
    <x v="297"/>
    <x v="2"/>
    <x v="2"/>
    <x v="1"/>
    <n v="1619"/>
    <x v="0"/>
  </r>
  <r>
    <n v="1313"/>
    <s v="Manuel Santos Cruz"/>
    <x v="0"/>
    <s v="Male"/>
    <n v="32"/>
    <x v="0"/>
    <x v="298"/>
    <x v="2"/>
    <x v="2"/>
    <x v="1"/>
    <n v="1169"/>
    <x v="4"/>
  </r>
  <r>
    <n v="1314"/>
    <s v="Kath Tan Camacho"/>
    <x v="4"/>
    <s v="Female"/>
    <n v="24"/>
    <x v="3"/>
    <x v="299"/>
    <x v="2"/>
    <x v="2"/>
    <x v="1"/>
    <n v="1468"/>
    <x v="0"/>
  </r>
  <r>
    <n v="1315"/>
    <s v="Lorenzo Tan Domingo"/>
    <x v="1"/>
    <s v="Male"/>
    <n v="30"/>
    <x v="0"/>
    <x v="300"/>
    <x v="123"/>
    <x v="8"/>
    <x v="0"/>
    <n v="251"/>
    <x v="1"/>
  </r>
  <r>
    <n v="1316"/>
    <s v="Eduardo Sy Torres"/>
    <x v="0"/>
    <s v="Other"/>
    <n v="25"/>
    <x v="3"/>
    <x v="301"/>
    <x v="2"/>
    <x v="2"/>
    <x v="1"/>
    <n v="1828"/>
    <x v="2"/>
  </r>
  <r>
    <n v="1317"/>
    <s v="Hernando Ramos Castro"/>
    <x v="1"/>
    <s v="Male"/>
    <n v="24"/>
    <x v="3"/>
    <x v="302"/>
    <x v="2"/>
    <x v="2"/>
    <x v="1"/>
    <n v="1832"/>
    <x v="2"/>
  </r>
  <r>
    <n v="1318"/>
    <s v="Abigail Aguilar Pascual"/>
    <x v="5"/>
    <s v="Female"/>
    <n v="43"/>
    <x v="2"/>
    <x v="303"/>
    <x v="2"/>
    <x v="2"/>
    <x v="1"/>
    <n v="956"/>
    <x v="7"/>
  </r>
  <r>
    <n v="1319"/>
    <s v="Beatriz Ocampo Elegado"/>
    <x v="5"/>
    <s v="Female"/>
    <n v="22"/>
    <x v="3"/>
    <x v="304"/>
    <x v="2"/>
    <x v="2"/>
    <x v="1"/>
    <n v="1726"/>
    <x v="0"/>
  </r>
  <r>
    <n v="1320"/>
    <s v="Gregorio Mendoza Ignacio"/>
    <x v="0"/>
    <s v="Male"/>
    <n v="24"/>
    <x v="3"/>
    <x v="305"/>
    <x v="2"/>
    <x v="2"/>
    <x v="1"/>
    <n v="1052"/>
    <x v="7"/>
  </r>
  <r>
    <n v="1321"/>
    <s v="Juan Garcia"/>
    <x v="2"/>
    <s v="Male"/>
    <n v="28"/>
    <x v="3"/>
    <x v="306"/>
    <x v="2"/>
    <x v="2"/>
    <x v="1"/>
    <n v="2163"/>
    <x v="2"/>
  </r>
  <r>
    <n v="1322"/>
    <s v="Jacqueline Lim Ocampo"/>
    <x v="1"/>
    <s v="Female"/>
    <n v="44"/>
    <x v="2"/>
    <x v="307"/>
    <x v="2"/>
    <x v="2"/>
    <x v="1"/>
    <n v="1530"/>
    <x v="0"/>
  </r>
  <r>
    <n v="1323"/>
    <s v="Patricia Bautista Castro"/>
    <x v="1"/>
    <s v="Female"/>
    <n v="41"/>
    <x v="2"/>
    <x v="308"/>
    <x v="2"/>
    <x v="2"/>
    <x v="1"/>
    <n v="1987"/>
    <x v="2"/>
  </r>
  <r>
    <n v="1324"/>
    <s v="Manuel Go Dalisay"/>
    <x v="1"/>
    <s v="Other"/>
    <n v="23"/>
    <x v="3"/>
    <x v="309"/>
    <x v="124"/>
    <x v="3"/>
    <x v="0"/>
    <n v="1042"/>
    <x v="7"/>
  </r>
  <r>
    <n v="1325"/>
    <s v="Teresita Ang Suarez"/>
    <x v="1"/>
    <s v="Female"/>
    <n v="57"/>
    <x v="1"/>
    <x v="78"/>
    <x v="2"/>
    <x v="2"/>
    <x v="1"/>
    <n v="1854"/>
    <x v="2"/>
  </r>
  <r>
    <n v="1326"/>
    <s v="Antonio Santos Guerrero"/>
    <x v="3"/>
    <s v="Other"/>
    <n v="55"/>
    <x v="1"/>
    <x v="310"/>
    <x v="107"/>
    <x v="5"/>
    <x v="0"/>
    <n v="1999"/>
    <x v="2"/>
  </r>
  <r>
    <n v="1327"/>
    <s v="Yvonne Viray"/>
    <x v="3"/>
    <s v="Female"/>
    <n v="45"/>
    <x v="2"/>
    <x v="311"/>
    <x v="125"/>
    <x v="4"/>
    <x v="0"/>
    <n v="1175"/>
    <x v="4"/>
  </r>
  <r>
    <n v="1328"/>
    <s v="Mae Bondoc"/>
    <x v="3"/>
    <s v="Female"/>
    <n v="38"/>
    <x v="0"/>
    <x v="312"/>
    <x v="126"/>
    <x v="3"/>
    <x v="0"/>
    <n v="1038"/>
    <x v="7"/>
  </r>
  <r>
    <n v="1329"/>
    <s v="Maria Bautista Villanueva"/>
    <x v="4"/>
    <s v="Other"/>
    <n v="26"/>
    <x v="3"/>
    <x v="40"/>
    <x v="127"/>
    <x v="7"/>
    <x v="0"/>
    <n v="226"/>
    <x v="1"/>
  </r>
  <r>
    <n v="1330"/>
    <s v="Maria Jimenez"/>
    <x v="4"/>
    <s v="Other"/>
    <n v="36"/>
    <x v="0"/>
    <x v="313"/>
    <x v="128"/>
    <x v="4"/>
    <x v="0"/>
    <n v="735"/>
    <x v="7"/>
  </r>
  <r>
    <n v="1331"/>
    <s v="Crisanto Mendoza Narvasa"/>
    <x v="4"/>
    <s v="Male"/>
    <n v="35"/>
    <x v="0"/>
    <x v="314"/>
    <x v="2"/>
    <x v="2"/>
    <x v="1"/>
    <n v="2793"/>
    <x v="3"/>
  </r>
  <r>
    <n v="1332"/>
    <s v="Lorenzo Domingo Natividad"/>
    <x v="1"/>
    <s v="Male"/>
    <n v="47"/>
    <x v="2"/>
    <x v="315"/>
    <x v="2"/>
    <x v="2"/>
    <x v="1"/>
    <n v="2604"/>
    <x v="3"/>
  </r>
  <r>
    <n v="1333"/>
    <s v="Elena Rivera"/>
    <x v="2"/>
    <s v="Female"/>
    <n v="40"/>
    <x v="2"/>
    <x v="269"/>
    <x v="2"/>
    <x v="2"/>
    <x v="1"/>
    <n v="212"/>
    <x v="1"/>
  </r>
  <r>
    <n v="1334"/>
    <s v="Isabel Gonzales Figueroa"/>
    <x v="4"/>
    <s v="Female"/>
    <n v="36"/>
    <x v="0"/>
    <x v="316"/>
    <x v="2"/>
    <x v="2"/>
    <x v="1"/>
    <n v="1641"/>
    <x v="0"/>
  </r>
  <r>
    <n v="1335"/>
    <s v="Renato Ramos Fernandez"/>
    <x v="1"/>
    <s v="Male"/>
    <n v="49"/>
    <x v="2"/>
    <x v="317"/>
    <x v="2"/>
    <x v="2"/>
    <x v="1"/>
    <n v="821"/>
    <x v="7"/>
  </r>
  <r>
    <n v="1336"/>
    <s v="Rowena Ocampo Narvasa"/>
    <x v="1"/>
    <s v="Female"/>
    <n v="35"/>
    <x v="0"/>
    <x v="318"/>
    <x v="129"/>
    <x v="5"/>
    <x v="0"/>
    <n v="1730"/>
    <x v="0"/>
  </r>
  <r>
    <n v="1337"/>
    <s v="Fe Sy Mendoza"/>
    <x v="1"/>
    <s v="Female"/>
    <n v="49"/>
    <x v="2"/>
    <x v="319"/>
    <x v="130"/>
    <x v="0"/>
    <x v="0"/>
    <n v="1448"/>
    <x v="4"/>
  </r>
  <r>
    <n v="1338"/>
    <s v="Hernando Gonzales Crisostomo"/>
    <x v="2"/>
    <s v="Male"/>
    <n v="22"/>
    <x v="3"/>
    <x v="320"/>
    <x v="2"/>
    <x v="2"/>
    <x v="1"/>
    <n v="1531"/>
    <x v="0"/>
  </r>
  <r>
    <n v="1339"/>
    <s v="Renato Lim Bayani"/>
    <x v="4"/>
    <s v="Male"/>
    <n v="30"/>
    <x v="0"/>
    <x v="321"/>
    <x v="2"/>
    <x v="2"/>
    <x v="1"/>
    <n v="2957"/>
    <x v="8"/>
  </r>
  <r>
    <n v="1340"/>
    <s v="Rafael Vega"/>
    <x v="2"/>
    <s v="Male"/>
    <n v="26"/>
    <x v="3"/>
    <x v="195"/>
    <x v="2"/>
    <x v="2"/>
    <x v="1"/>
    <n v="1953"/>
    <x v="2"/>
  </r>
  <r>
    <n v="1341"/>
    <s v="Mylene Ang Umali"/>
    <x v="2"/>
    <s v="Female"/>
    <n v="55"/>
    <x v="1"/>
    <x v="322"/>
    <x v="2"/>
    <x v="2"/>
    <x v="1"/>
    <n v="3019"/>
    <x v="8"/>
  </r>
  <r>
    <n v="1342"/>
    <s v="Ramon Chan Ang"/>
    <x v="4"/>
    <s v="Male"/>
    <n v="57"/>
    <x v="1"/>
    <x v="323"/>
    <x v="131"/>
    <x v="6"/>
    <x v="0"/>
    <n v="143"/>
    <x v="1"/>
  </r>
  <r>
    <n v="1343"/>
    <s v="Antonio Macapagal"/>
    <x v="0"/>
    <s v="Other"/>
    <n v="51"/>
    <x v="1"/>
    <x v="324"/>
    <x v="132"/>
    <x v="6"/>
    <x v="0"/>
    <n v="1077"/>
    <x v="7"/>
  </r>
  <r>
    <n v="1344"/>
    <s v="Ivan Vega Ong"/>
    <x v="2"/>
    <s v="Male"/>
    <n v="32"/>
    <x v="0"/>
    <x v="325"/>
    <x v="133"/>
    <x v="3"/>
    <x v="0"/>
    <n v="1392"/>
    <x v="4"/>
  </r>
  <r>
    <n v="1345"/>
    <s v="Ian Ang Guerrero"/>
    <x v="3"/>
    <s v="Male"/>
    <n v="57"/>
    <x v="1"/>
    <x v="326"/>
    <x v="2"/>
    <x v="2"/>
    <x v="1"/>
    <n v="2327"/>
    <x v="6"/>
  </r>
  <r>
    <n v="1346"/>
    <s v="Maria Mangubat"/>
    <x v="1"/>
    <s v="Female"/>
    <n v="35"/>
    <x v="0"/>
    <x v="327"/>
    <x v="2"/>
    <x v="2"/>
    <x v="1"/>
    <n v="3017"/>
    <x v="8"/>
  </r>
  <r>
    <n v="1347"/>
    <s v="Erlinda Gonzales"/>
    <x v="1"/>
    <s v="Female"/>
    <n v="32"/>
    <x v="0"/>
    <x v="328"/>
    <x v="134"/>
    <x v="7"/>
    <x v="0"/>
    <n v="392"/>
    <x v="5"/>
  </r>
  <r>
    <n v="1348"/>
    <s v="Maria Soriano Ong"/>
    <x v="2"/>
    <s v="Other"/>
    <n v="44"/>
    <x v="2"/>
    <x v="329"/>
    <x v="2"/>
    <x v="2"/>
    <x v="1"/>
    <n v="213"/>
    <x v="1"/>
  </r>
  <r>
    <n v="1349"/>
    <s v="Rodel Soriano"/>
    <x v="4"/>
    <s v="Other"/>
    <n v="48"/>
    <x v="2"/>
    <x v="330"/>
    <x v="2"/>
    <x v="2"/>
    <x v="1"/>
    <n v="480"/>
    <x v="5"/>
  </r>
  <r>
    <n v="1350"/>
    <s v="Jose Pascual Panganiban"/>
    <x v="0"/>
    <s v="Other"/>
    <n v="43"/>
    <x v="2"/>
    <x v="331"/>
    <x v="2"/>
    <x v="2"/>
    <x v="1"/>
    <n v="2184"/>
    <x v="2"/>
  </r>
  <r>
    <n v="1351"/>
    <s v="Maricel Navarro Ocampo"/>
    <x v="1"/>
    <s v="Other"/>
    <n v="57"/>
    <x v="1"/>
    <x v="332"/>
    <x v="2"/>
    <x v="2"/>
    <x v="1"/>
    <n v="1495"/>
    <x v="0"/>
  </r>
  <r>
    <n v="1352"/>
    <s v="Isabel Ocampo Mercado"/>
    <x v="3"/>
    <s v="Other"/>
    <n v="35"/>
    <x v="0"/>
    <x v="333"/>
    <x v="2"/>
    <x v="2"/>
    <x v="1"/>
    <n v="479"/>
    <x v="5"/>
  </r>
  <r>
    <n v="1353"/>
    <s v="Casey Lazo"/>
    <x v="1"/>
    <s v="Other"/>
    <n v="31"/>
    <x v="0"/>
    <x v="334"/>
    <x v="2"/>
    <x v="2"/>
    <x v="1"/>
    <n v="493"/>
    <x v="5"/>
  </r>
  <r>
    <n v="1354"/>
    <s v="Severino Lopez"/>
    <x v="5"/>
    <s v="Male"/>
    <n v="21"/>
    <x v="3"/>
    <x v="335"/>
    <x v="135"/>
    <x v="0"/>
    <x v="0"/>
    <n v="1509"/>
    <x v="0"/>
  </r>
  <r>
    <n v="1355"/>
    <s v="Ian Rivera Panganiban"/>
    <x v="1"/>
    <s v="Male"/>
    <n v="47"/>
    <x v="2"/>
    <x v="336"/>
    <x v="2"/>
    <x v="2"/>
    <x v="1"/>
    <n v="2417"/>
    <x v="6"/>
  </r>
  <r>
    <n v="1356"/>
    <s v="Nicanor Cruz Aguilar"/>
    <x v="1"/>
    <s v="Male"/>
    <n v="57"/>
    <x v="1"/>
    <x v="337"/>
    <x v="2"/>
    <x v="2"/>
    <x v="1"/>
    <n v="432"/>
    <x v="5"/>
  </r>
  <r>
    <n v="1357"/>
    <s v="Gloria Hilario"/>
    <x v="4"/>
    <s v="Female"/>
    <n v="27"/>
    <x v="3"/>
    <x v="338"/>
    <x v="136"/>
    <x v="0"/>
    <x v="0"/>
    <n v="1627"/>
    <x v="0"/>
  </r>
  <r>
    <n v="1358"/>
    <s v="Timothy Diaz Aguilar"/>
    <x v="3"/>
    <s v="Male"/>
    <n v="51"/>
    <x v="1"/>
    <x v="329"/>
    <x v="137"/>
    <x v="0"/>
    <x v="0"/>
    <n v="173"/>
    <x v="1"/>
  </r>
  <r>
    <n v="1359"/>
    <s v="Isabel Ang Tolentino"/>
    <x v="1"/>
    <s v="Female"/>
    <n v="53"/>
    <x v="1"/>
    <x v="339"/>
    <x v="138"/>
    <x v="6"/>
    <x v="0"/>
    <n v="378"/>
    <x v="5"/>
  </r>
  <r>
    <n v="1360"/>
    <s v="Ramon Pascual Santiago"/>
    <x v="1"/>
    <s v="Male"/>
    <n v="48"/>
    <x v="2"/>
    <x v="340"/>
    <x v="139"/>
    <x v="0"/>
    <x v="0"/>
    <n v="2057"/>
    <x v="2"/>
  </r>
  <r>
    <n v="1361"/>
    <s v="Eddie Viray"/>
    <x v="3"/>
    <s v="Male"/>
    <n v="28"/>
    <x v="3"/>
    <x v="341"/>
    <x v="2"/>
    <x v="2"/>
    <x v="1"/>
    <n v="1835"/>
    <x v="2"/>
  </r>
  <r>
    <n v="1362"/>
    <s v="Warren Go Garcia"/>
    <x v="4"/>
    <s v="Male"/>
    <n v="45"/>
    <x v="2"/>
    <x v="342"/>
    <x v="140"/>
    <x v="5"/>
    <x v="0"/>
    <n v="1652"/>
    <x v="0"/>
  </r>
  <r>
    <n v="1363"/>
    <s v="Efren Ramirez Guerrero"/>
    <x v="4"/>
    <s v="Other"/>
    <n v="57"/>
    <x v="1"/>
    <x v="343"/>
    <x v="141"/>
    <x v="0"/>
    <x v="0"/>
    <n v="486"/>
    <x v="5"/>
  </r>
  <r>
    <n v="1364"/>
    <s v="Elena Macapagal"/>
    <x v="0"/>
    <s v="Other"/>
    <n v="54"/>
    <x v="1"/>
    <x v="344"/>
    <x v="2"/>
    <x v="2"/>
    <x v="1"/>
    <n v="1384"/>
    <x v="4"/>
  </r>
  <r>
    <n v="1365"/>
    <s v="Mae Macapagal"/>
    <x v="0"/>
    <s v="Female"/>
    <n v="23"/>
    <x v="3"/>
    <x v="345"/>
    <x v="2"/>
    <x v="2"/>
    <x v="1"/>
    <n v="1042"/>
    <x v="7"/>
  </r>
  <r>
    <n v="1366"/>
    <s v="Imelda Rivera"/>
    <x v="0"/>
    <s v="Female"/>
    <n v="49"/>
    <x v="2"/>
    <x v="346"/>
    <x v="2"/>
    <x v="2"/>
    <x v="1"/>
    <n v="2390"/>
    <x v="6"/>
  </r>
  <r>
    <n v="1367"/>
    <s v="Diosdado Ocampo Perez"/>
    <x v="1"/>
    <s v="Male"/>
    <n v="48"/>
    <x v="2"/>
    <x v="347"/>
    <x v="2"/>
    <x v="2"/>
    <x v="1"/>
    <n v="2271"/>
    <x v="6"/>
  </r>
  <r>
    <n v="1368"/>
    <s v="Larry Roque"/>
    <x v="1"/>
    <s v="Male"/>
    <n v="56"/>
    <x v="1"/>
    <x v="348"/>
    <x v="2"/>
    <x v="2"/>
    <x v="1"/>
    <n v="1763"/>
    <x v="0"/>
  </r>
  <r>
    <n v="1369"/>
    <s v="Morgan Mendoza Camacho"/>
    <x v="1"/>
    <s v="Other"/>
    <n v="58"/>
    <x v="1"/>
    <x v="349"/>
    <x v="2"/>
    <x v="2"/>
    <x v="1"/>
    <n v="958"/>
    <x v="7"/>
  </r>
  <r>
    <n v="1370"/>
    <s v="Harold Ang Bondoc"/>
    <x v="3"/>
    <s v="Male"/>
    <n v="27"/>
    <x v="3"/>
    <x v="350"/>
    <x v="2"/>
    <x v="2"/>
    <x v="1"/>
    <n v="1927"/>
    <x v="2"/>
  </r>
  <r>
    <n v="1371"/>
    <s v="Bong Guevarra"/>
    <x v="0"/>
    <s v="Male"/>
    <n v="32"/>
    <x v="0"/>
    <x v="351"/>
    <x v="2"/>
    <x v="2"/>
    <x v="1"/>
    <n v="1970"/>
    <x v="2"/>
  </r>
  <r>
    <n v="1372"/>
    <s v="Ronaldo Soriano Cruz"/>
    <x v="1"/>
    <s v="Other"/>
    <n v="42"/>
    <x v="2"/>
    <x v="295"/>
    <x v="142"/>
    <x v="4"/>
    <x v="0"/>
    <n v="211"/>
    <x v="1"/>
  </r>
  <r>
    <n v="1373"/>
    <s v="Rodel Wong"/>
    <x v="4"/>
    <s v="Other"/>
    <n v="27"/>
    <x v="3"/>
    <x v="352"/>
    <x v="143"/>
    <x v="1"/>
    <x v="0"/>
    <n v="1904"/>
    <x v="2"/>
  </r>
  <r>
    <n v="1374"/>
    <s v="Wendy Santiago San Pedro"/>
    <x v="0"/>
    <s v="Female"/>
    <n v="49"/>
    <x v="2"/>
    <x v="353"/>
    <x v="2"/>
    <x v="2"/>
    <x v="1"/>
    <n v="2233"/>
    <x v="6"/>
  </r>
  <r>
    <n v="1375"/>
    <s v="Mark Castro Lozano"/>
    <x v="2"/>
    <s v="Male"/>
    <n v="31"/>
    <x v="0"/>
    <x v="354"/>
    <x v="144"/>
    <x v="5"/>
    <x v="0"/>
    <n v="2165"/>
    <x v="2"/>
  </r>
  <r>
    <n v="1376"/>
    <s v="Maribel Go Ang"/>
    <x v="2"/>
    <s v="Female"/>
    <n v="24"/>
    <x v="3"/>
    <x v="355"/>
    <x v="145"/>
    <x v="3"/>
    <x v="0"/>
    <n v="193"/>
    <x v="1"/>
  </r>
  <r>
    <n v="1377"/>
    <s v="Warren Soriano"/>
    <x v="0"/>
    <s v="Male"/>
    <n v="28"/>
    <x v="3"/>
    <x v="356"/>
    <x v="146"/>
    <x v="8"/>
    <x v="0"/>
    <n v="185"/>
    <x v="1"/>
  </r>
  <r>
    <n v="1378"/>
    <s v="Teodoro Del Rosario"/>
    <x v="0"/>
    <s v="Male"/>
    <n v="43"/>
    <x v="2"/>
    <x v="357"/>
    <x v="2"/>
    <x v="2"/>
    <x v="1"/>
    <n v="2429"/>
    <x v="6"/>
  </r>
  <r>
    <n v="1379"/>
    <s v="Ofelia Tan"/>
    <x v="1"/>
    <s v="Female"/>
    <n v="24"/>
    <x v="3"/>
    <x v="358"/>
    <x v="2"/>
    <x v="2"/>
    <x v="1"/>
    <n v="2431"/>
    <x v="6"/>
  </r>
  <r>
    <n v="1380"/>
    <s v="Ana Tuazon"/>
    <x v="5"/>
    <s v="Female"/>
    <n v="47"/>
    <x v="2"/>
    <x v="359"/>
    <x v="147"/>
    <x v="4"/>
    <x v="0"/>
    <n v="889"/>
    <x v="7"/>
  </r>
  <r>
    <n v="1381"/>
    <s v="Vicente Estrada"/>
    <x v="5"/>
    <s v="Male"/>
    <n v="21"/>
    <x v="3"/>
    <x v="360"/>
    <x v="148"/>
    <x v="1"/>
    <x v="0"/>
    <n v="1341"/>
    <x v="4"/>
  </r>
  <r>
    <n v="1382"/>
    <s v="Nathan Santiago Narvasa"/>
    <x v="2"/>
    <s v="Male"/>
    <n v="34"/>
    <x v="0"/>
    <x v="361"/>
    <x v="149"/>
    <x v="3"/>
    <x v="0"/>
    <n v="1156"/>
    <x v="4"/>
  </r>
  <r>
    <n v="1383"/>
    <s v="Ferdi Aguilar Aquino"/>
    <x v="0"/>
    <s v="Male"/>
    <n v="39"/>
    <x v="0"/>
    <x v="362"/>
    <x v="2"/>
    <x v="2"/>
    <x v="1"/>
    <n v="1876"/>
    <x v="2"/>
  </r>
  <r>
    <n v="1384"/>
    <s v="Manuel Mercado Diaz"/>
    <x v="5"/>
    <s v="Other"/>
    <n v="37"/>
    <x v="0"/>
    <x v="363"/>
    <x v="2"/>
    <x v="2"/>
    <x v="1"/>
    <n v="411"/>
    <x v="5"/>
  </r>
  <r>
    <n v="1385"/>
    <s v="Isabel Lim Chua"/>
    <x v="2"/>
    <s v="Other"/>
    <n v="46"/>
    <x v="2"/>
    <x v="364"/>
    <x v="150"/>
    <x v="1"/>
    <x v="0"/>
    <n v="161"/>
    <x v="1"/>
  </r>
  <r>
    <n v="1386"/>
    <s v="Miguel Buenaventura"/>
    <x v="4"/>
    <s v="Other"/>
    <n v="58"/>
    <x v="1"/>
    <x v="365"/>
    <x v="2"/>
    <x v="2"/>
    <x v="1"/>
    <n v="198"/>
    <x v="1"/>
  </r>
  <r>
    <n v="1387"/>
    <s v="Roy Chan Navarro"/>
    <x v="1"/>
    <s v="Male"/>
    <n v="51"/>
    <x v="1"/>
    <x v="366"/>
    <x v="151"/>
    <x v="3"/>
    <x v="0"/>
    <n v="166"/>
    <x v="1"/>
  </r>
  <r>
    <n v="1388"/>
    <s v="Joy Vega Corpuz"/>
    <x v="1"/>
    <s v="Female"/>
    <n v="56"/>
    <x v="1"/>
    <x v="367"/>
    <x v="2"/>
    <x v="2"/>
    <x v="1"/>
    <n v="2349"/>
    <x v="6"/>
  </r>
  <r>
    <n v="1389"/>
    <s v="Elena Mendoza"/>
    <x v="1"/>
    <s v="Other"/>
    <n v="53"/>
    <x v="1"/>
    <x v="368"/>
    <x v="152"/>
    <x v="6"/>
    <x v="0"/>
    <n v="1289"/>
    <x v="4"/>
  </r>
  <r>
    <n v="1390"/>
    <s v="Pilar Castro"/>
    <x v="0"/>
    <s v="Other"/>
    <n v="25"/>
    <x v="3"/>
    <x v="369"/>
    <x v="2"/>
    <x v="2"/>
    <x v="1"/>
    <n v="1164"/>
    <x v="4"/>
  </r>
  <r>
    <n v="1391"/>
    <s v="Tess Gonzales Roque"/>
    <x v="4"/>
    <s v="Female"/>
    <n v="24"/>
    <x v="3"/>
    <x v="264"/>
    <x v="153"/>
    <x v="5"/>
    <x v="0"/>
    <n v="910"/>
    <x v="7"/>
  </r>
  <r>
    <n v="1392"/>
    <s v="Juan Lopez Natividad"/>
    <x v="5"/>
    <s v="Male"/>
    <n v="32"/>
    <x v="0"/>
    <x v="370"/>
    <x v="2"/>
    <x v="2"/>
    <x v="1"/>
    <n v="1815"/>
    <x v="0"/>
  </r>
  <r>
    <n v="1393"/>
    <s v="Aileen Chan Vergara"/>
    <x v="0"/>
    <s v="Female"/>
    <n v="26"/>
    <x v="3"/>
    <x v="371"/>
    <x v="2"/>
    <x v="2"/>
    <x v="1"/>
    <n v="2568"/>
    <x v="3"/>
  </r>
  <r>
    <n v="1394"/>
    <s v="Iris Santos Elegado"/>
    <x v="4"/>
    <s v="Female"/>
    <n v="33"/>
    <x v="0"/>
    <x v="372"/>
    <x v="2"/>
    <x v="2"/>
    <x v="1"/>
    <n v="1570"/>
    <x v="0"/>
  </r>
  <r>
    <n v="1395"/>
    <s v="Grace Cruz Pascual"/>
    <x v="0"/>
    <s v="Female"/>
    <n v="43"/>
    <x v="2"/>
    <x v="373"/>
    <x v="154"/>
    <x v="8"/>
    <x v="0"/>
    <n v="875"/>
    <x v="7"/>
  </r>
  <r>
    <n v="1396"/>
    <s v="Bea Guevarra"/>
    <x v="4"/>
    <s v="Female"/>
    <n v="54"/>
    <x v="1"/>
    <x v="374"/>
    <x v="2"/>
    <x v="2"/>
    <x v="1"/>
    <n v="656"/>
    <x v="5"/>
  </r>
  <r>
    <n v="1397"/>
    <s v="Antonio Dela Torre"/>
    <x v="4"/>
    <s v="Other"/>
    <n v="43"/>
    <x v="2"/>
    <x v="326"/>
    <x v="155"/>
    <x v="0"/>
    <x v="0"/>
    <n v="1742"/>
    <x v="0"/>
  </r>
  <r>
    <n v="1398"/>
    <s v="Violeta Fajardo"/>
    <x v="1"/>
    <s v="Female"/>
    <n v="53"/>
    <x v="1"/>
    <x v="375"/>
    <x v="156"/>
    <x v="5"/>
    <x v="0"/>
    <n v="243"/>
    <x v="1"/>
  </r>
  <r>
    <n v="1399"/>
    <s v="Isabel Uy Hernandez"/>
    <x v="0"/>
    <s v="Female"/>
    <n v="27"/>
    <x v="3"/>
    <x v="376"/>
    <x v="2"/>
    <x v="2"/>
    <x v="1"/>
    <n v="421"/>
    <x v="5"/>
  </r>
  <r>
    <n v="1400"/>
    <s v="Jose Mendoza Sia"/>
    <x v="4"/>
    <s v="Male"/>
    <n v="51"/>
    <x v="1"/>
    <x v="6"/>
    <x v="157"/>
    <x v="1"/>
    <x v="0"/>
    <n v="178"/>
    <x v="1"/>
  </r>
  <r>
    <n v="1401"/>
    <s v="Cristina Cueto"/>
    <x v="5"/>
    <s v="Female"/>
    <n v="29"/>
    <x v="3"/>
    <x v="377"/>
    <x v="2"/>
    <x v="2"/>
    <x v="1"/>
    <n v="1383"/>
    <x v="4"/>
  </r>
  <r>
    <n v="1402"/>
    <s v="Mae Lim Vega"/>
    <x v="1"/>
    <s v="Female"/>
    <n v="27"/>
    <x v="3"/>
    <x v="378"/>
    <x v="158"/>
    <x v="1"/>
    <x v="0"/>
    <n v="294"/>
    <x v="1"/>
  </r>
  <r>
    <n v="1403"/>
    <s v="Hazel Santos Mangubat"/>
    <x v="4"/>
    <s v="Female"/>
    <n v="52"/>
    <x v="1"/>
    <x v="379"/>
    <x v="2"/>
    <x v="2"/>
    <x v="1"/>
    <n v="2248"/>
    <x v="6"/>
  </r>
  <r>
    <n v="1404"/>
    <s v="Casey Mendoza Cueto"/>
    <x v="5"/>
    <s v="Other"/>
    <n v="57"/>
    <x v="1"/>
    <x v="380"/>
    <x v="2"/>
    <x v="2"/>
    <x v="1"/>
    <n v="358"/>
    <x v="1"/>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1"/>
    <x v="4"/>
  </r>
  <r>
    <n v="1409"/>
    <s v="Elena Lozano"/>
    <x v="3"/>
    <s v="Other"/>
    <n v="27"/>
    <x v="3"/>
    <x v="385"/>
    <x v="2"/>
    <x v="2"/>
    <x v="1"/>
    <n v="1394"/>
    <x v="4"/>
  </r>
  <r>
    <n v="1410"/>
    <s v="Bernardo Umali"/>
    <x v="1"/>
    <s v="Male"/>
    <n v="43"/>
    <x v="2"/>
    <x v="386"/>
    <x v="162"/>
    <x v="3"/>
    <x v="0"/>
    <n v="440"/>
    <x v="5"/>
  </r>
  <r>
    <n v="1411"/>
    <s v="Mark Ramirez Del Rosario"/>
    <x v="1"/>
    <s v="Male"/>
    <n v="23"/>
    <x v="3"/>
    <x v="387"/>
    <x v="163"/>
    <x v="0"/>
    <x v="0"/>
    <n v="1377"/>
    <x v="4"/>
  </r>
  <r>
    <n v="1412"/>
    <s v="Efren Lacson"/>
    <x v="3"/>
    <s v="Male"/>
    <n v="42"/>
    <x v="2"/>
    <x v="388"/>
    <x v="2"/>
    <x v="2"/>
    <x v="1"/>
    <n v="972"/>
    <x v="7"/>
  </r>
  <r>
    <n v="1413"/>
    <s v="Roy Lopez Solis"/>
    <x v="4"/>
    <s v="Male"/>
    <n v="45"/>
    <x v="2"/>
    <x v="389"/>
    <x v="2"/>
    <x v="2"/>
    <x v="1"/>
    <n v="2490"/>
    <x v="6"/>
  </r>
  <r>
    <n v="1414"/>
    <s v="Vicente Rivera Mendoza"/>
    <x v="0"/>
    <s v="Male"/>
    <n v="60"/>
    <x v="4"/>
    <x v="390"/>
    <x v="85"/>
    <x v="6"/>
    <x v="0"/>
    <n v="2103"/>
    <x v="2"/>
  </r>
  <r>
    <n v="1415"/>
    <s v="Daisy Dela Cruz"/>
    <x v="4"/>
    <s v="Female"/>
    <n v="50"/>
    <x v="1"/>
    <x v="157"/>
    <x v="2"/>
    <x v="2"/>
    <x v="1"/>
    <n v="1279"/>
    <x v="4"/>
  </r>
  <r>
    <n v="1416"/>
    <s v="Sue Garcia Hilario"/>
    <x v="4"/>
    <s v="Female"/>
    <n v="52"/>
    <x v="1"/>
    <x v="391"/>
    <x v="164"/>
    <x v="5"/>
    <x v="0"/>
    <n v="296"/>
    <x v="1"/>
  </r>
  <r>
    <n v="1417"/>
    <s v="Carmen Bautista Buenaventura"/>
    <x v="2"/>
    <s v="Other"/>
    <n v="40"/>
    <x v="2"/>
    <x v="392"/>
    <x v="2"/>
    <x v="2"/>
    <x v="1"/>
    <n v="1016"/>
    <x v="7"/>
  </r>
  <r>
    <n v="1418"/>
    <s v="Cristina Tuazon"/>
    <x v="2"/>
    <s v="Other"/>
    <n v="42"/>
    <x v="2"/>
    <x v="393"/>
    <x v="2"/>
    <x v="2"/>
    <x v="1"/>
    <n v="804"/>
    <x v="7"/>
  </r>
  <r>
    <n v="1419"/>
    <s v="Aldrin Mendoza Hilario"/>
    <x v="4"/>
    <s v="Male"/>
    <n v="27"/>
    <x v="3"/>
    <x v="126"/>
    <x v="165"/>
    <x v="5"/>
    <x v="0"/>
    <n v="264"/>
    <x v="1"/>
  </r>
  <r>
    <n v="1420"/>
    <s v="Annaliza Castro Tolentino"/>
    <x v="1"/>
    <s v="Female"/>
    <n v="29"/>
    <x v="3"/>
    <x v="394"/>
    <x v="166"/>
    <x v="0"/>
    <x v="0"/>
    <n v="1341"/>
    <x v="4"/>
  </r>
  <r>
    <n v="1421"/>
    <s v="Annaliza Ramos Natividad"/>
    <x v="5"/>
    <s v="Female"/>
    <n v="47"/>
    <x v="2"/>
    <x v="395"/>
    <x v="2"/>
    <x v="2"/>
    <x v="1"/>
    <n v="2908"/>
    <x v="3"/>
  </r>
  <r>
    <n v="1422"/>
    <s v="Hazel Cueto"/>
    <x v="3"/>
    <s v="Female"/>
    <n v="24"/>
    <x v="3"/>
    <x v="396"/>
    <x v="2"/>
    <x v="2"/>
    <x v="1"/>
    <n v="832"/>
    <x v="7"/>
  </r>
  <r>
    <n v="1423"/>
    <s v="Arnel Camacho"/>
    <x v="3"/>
    <s v="Other"/>
    <n v="32"/>
    <x v="0"/>
    <x v="397"/>
    <x v="167"/>
    <x v="8"/>
    <x v="0"/>
    <n v="1408"/>
    <x v="4"/>
  </r>
  <r>
    <n v="1424"/>
    <s v="Carlos Natividad"/>
    <x v="3"/>
    <s v="Other"/>
    <n v="38"/>
    <x v="0"/>
    <x v="398"/>
    <x v="2"/>
    <x v="2"/>
    <x v="1"/>
    <n v="1469"/>
    <x v="0"/>
  </r>
  <r>
    <n v="1425"/>
    <s v="Pete Macaraeg"/>
    <x v="1"/>
    <s v="Male"/>
    <n v="53"/>
    <x v="1"/>
    <x v="399"/>
    <x v="2"/>
    <x v="2"/>
    <x v="1"/>
    <n v="1874"/>
    <x v="2"/>
  </r>
  <r>
    <n v="1426"/>
    <s v="Aldrin Ramos Guevarra"/>
    <x v="3"/>
    <s v="Male"/>
    <n v="33"/>
    <x v="0"/>
    <x v="400"/>
    <x v="2"/>
    <x v="2"/>
    <x v="1"/>
    <n v="2240"/>
    <x v="6"/>
  </r>
  <r>
    <n v="1427"/>
    <s v="Elmer Vega Lazo"/>
    <x v="3"/>
    <s v="Male"/>
    <n v="32"/>
    <x v="0"/>
    <x v="401"/>
    <x v="2"/>
    <x v="2"/>
    <x v="1"/>
    <n v="1035"/>
    <x v="7"/>
  </r>
  <r>
    <n v="1428"/>
    <s v="Neil Co"/>
    <x v="0"/>
    <s v="Male"/>
    <n v="47"/>
    <x v="2"/>
    <x v="402"/>
    <x v="2"/>
    <x v="2"/>
    <x v="1"/>
    <n v="337"/>
    <x v="1"/>
  </r>
  <r>
    <n v="1429"/>
    <s v="Isabel Aguilar Enriquez"/>
    <x v="4"/>
    <s v="Female"/>
    <n v="27"/>
    <x v="3"/>
    <x v="403"/>
    <x v="2"/>
    <x v="2"/>
    <x v="1"/>
    <n v="2995"/>
    <x v="8"/>
  </r>
  <r>
    <n v="1430"/>
    <s v="Estrella Santiago"/>
    <x v="5"/>
    <s v="Female"/>
    <n v="39"/>
    <x v="0"/>
    <x v="404"/>
    <x v="168"/>
    <x v="1"/>
    <x v="0"/>
    <n v="105"/>
    <x v="1"/>
  </r>
  <r>
    <n v="1431"/>
    <s v="Rowena Tan"/>
    <x v="1"/>
    <s v="Other"/>
    <n v="27"/>
    <x v="3"/>
    <x v="293"/>
    <x v="2"/>
    <x v="2"/>
    <x v="1"/>
    <n v="575"/>
    <x v="5"/>
  </r>
  <r>
    <n v="1432"/>
    <s v="Rachel Navarro Salazar"/>
    <x v="0"/>
    <s v="Female"/>
    <n v="39"/>
    <x v="0"/>
    <x v="405"/>
    <x v="2"/>
    <x v="2"/>
    <x v="1"/>
    <n v="260"/>
    <x v="1"/>
  </r>
  <r>
    <n v="1433"/>
    <s v="Cherry Tan"/>
    <x v="3"/>
    <s v="Female"/>
    <n v="37"/>
    <x v="0"/>
    <x v="406"/>
    <x v="2"/>
    <x v="2"/>
    <x v="1"/>
    <n v="2267"/>
    <x v="6"/>
  </r>
  <r>
    <n v="1434"/>
    <s v="Kristoffer Obispo"/>
    <x v="5"/>
    <s v="Male"/>
    <n v="58"/>
    <x v="1"/>
    <x v="407"/>
    <x v="2"/>
    <x v="2"/>
    <x v="1"/>
    <n v="860"/>
    <x v="7"/>
  </r>
  <r>
    <n v="1435"/>
    <s v="Lea Sy Castro"/>
    <x v="4"/>
    <s v="Female"/>
    <n v="25"/>
    <x v="3"/>
    <x v="408"/>
    <x v="2"/>
    <x v="2"/>
    <x v="1"/>
    <n v="2333"/>
    <x v="6"/>
  </r>
  <r>
    <n v="1436"/>
    <s v="Maria Fernandez Mangubat"/>
    <x v="4"/>
    <s v="Female"/>
    <n v="31"/>
    <x v="0"/>
    <x v="237"/>
    <x v="2"/>
    <x v="2"/>
    <x v="1"/>
    <n v="706"/>
    <x v="5"/>
  </r>
  <r>
    <n v="1437"/>
    <s v="Manuel Viray"/>
    <x v="1"/>
    <s v="Other"/>
    <n v="24"/>
    <x v="3"/>
    <x v="409"/>
    <x v="2"/>
    <x v="2"/>
    <x v="1"/>
    <n v="537"/>
    <x v="5"/>
  </r>
  <r>
    <n v="1438"/>
    <s v="Kath Tan Aguilar"/>
    <x v="0"/>
    <s v="Female"/>
    <n v="41"/>
    <x v="2"/>
    <x v="217"/>
    <x v="169"/>
    <x v="8"/>
    <x v="0"/>
    <n v="278"/>
    <x v="1"/>
  </r>
  <r>
    <n v="1439"/>
    <s v="Sue Vega Corpuz"/>
    <x v="1"/>
    <s v="Female"/>
    <n v="65"/>
    <x v="4"/>
    <x v="410"/>
    <x v="147"/>
    <x v="6"/>
    <x v="0"/>
    <n v="274"/>
    <x v="1"/>
  </r>
  <r>
    <n v="1440"/>
    <s v="Rodel Panganiban"/>
    <x v="4"/>
    <s v="Other"/>
    <n v="36"/>
    <x v="0"/>
    <x v="411"/>
    <x v="2"/>
    <x v="2"/>
    <x v="1"/>
    <n v="2935"/>
    <x v="8"/>
  </r>
  <r>
    <n v="1441"/>
    <s v="Kevin Cueto"/>
    <x v="3"/>
    <s v="Male"/>
    <n v="55"/>
    <x v="1"/>
    <x v="412"/>
    <x v="170"/>
    <x v="3"/>
    <x v="0"/>
    <n v="1148"/>
    <x v="4"/>
  </r>
  <r>
    <n v="1442"/>
    <s v="Lourdes Pascual"/>
    <x v="4"/>
    <s v="Female"/>
    <n v="33"/>
    <x v="0"/>
    <x v="413"/>
    <x v="2"/>
    <x v="2"/>
    <x v="1"/>
    <n v="1786"/>
    <x v="0"/>
  </r>
  <r>
    <n v="1443"/>
    <s v="Marcelo Mendoza Guevarra"/>
    <x v="5"/>
    <s v="Male"/>
    <n v="25"/>
    <x v="3"/>
    <x v="414"/>
    <x v="2"/>
    <x v="2"/>
    <x v="1"/>
    <n v="2235"/>
    <x v="6"/>
  </r>
  <r>
    <n v="1444"/>
    <s v="Jordan Del Rosario"/>
    <x v="1"/>
    <s v="Other"/>
    <n v="48"/>
    <x v="2"/>
    <x v="415"/>
    <x v="2"/>
    <x v="2"/>
    <x v="1"/>
    <n v="450"/>
    <x v="5"/>
  </r>
  <r>
    <n v="1445"/>
    <s v="Rowena Ramirez Villanueva"/>
    <x v="1"/>
    <s v="Other"/>
    <n v="23"/>
    <x v="3"/>
    <x v="340"/>
    <x v="171"/>
    <x v="3"/>
    <x v="0"/>
    <n v="819"/>
    <x v="7"/>
  </r>
  <r>
    <n v="1446"/>
    <s v="Dennis Torres Cruz"/>
    <x v="3"/>
    <s v="Male"/>
    <n v="49"/>
    <x v="2"/>
    <x v="416"/>
    <x v="2"/>
    <x v="2"/>
    <x v="1"/>
    <n v="517"/>
    <x v="5"/>
  </r>
  <r>
    <n v="1447"/>
    <s v="Jimmy Soriano Lopez"/>
    <x v="0"/>
    <s v="Male"/>
    <n v="25"/>
    <x v="3"/>
    <x v="417"/>
    <x v="172"/>
    <x v="5"/>
    <x v="0"/>
    <n v="164"/>
    <x v="1"/>
  </r>
  <r>
    <n v="1448"/>
    <s v="Luisa Ramirez Tuazon"/>
    <x v="0"/>
    <s v="Female"/>
    <n v="49"/>
    <x v="2"/>
    <x v="418"/>
    <x v="2"/>
    <x v="2"/>
    <x v="1"/>
    <n v="1536"/>
    <x v="0"/>
  </r>
  <r>
    <n v="1449"/>
    <s v="Diosdado Sia"/>
    <x v="1"/>
    <s v="Male"/>
    <n v="55"/>
    <x v="1"/>
    <x v="419"/>
    <x v="2"/>
    <x v="2"/>
    <x v="1"/>
    <n v="1890"/>
    <x v="2"/>
  </r>
  <r>
    <n v="1450"/>
    <s v="Rowena Santos Mercado"/>
    <x v="3"/>
    <s v="Other"/>
    <n v="44"/>
    <x v="2"/>
    <x v="420"/>
    <x v="2"/>
    <x v="2"/>
    <x v="1"/>
    <n v="3053"/>
    <x v="8"/>
  </r>
  <r>
    <n v="1451"/>
    <s v="Kim Ramirez Mercado"/>
    <x v="0"/>
    <s v="Male"/>
    <n v="56"/>
    <x v="1"/>
    <x v="421"/>
    <x v="173"/>
    <x v="0"/>
    <x v="0"/>
    <n v="1498"/>
    <x v="0"/>
  </r>
  <r>
    <n v="1452"/>
    <s v="Tess Mendoza"/>
    <x v="0"/>
    <s v="Female"/>
    <n v="28"/>
    <x v="3"/>
    <x v="422"/>
    <x v="2"/>
    <x v="2"/>
    <x v="1"/>
    <n v="2356"/>
    <x v="6"/>
  </r>
  <r>
    <n v="1453"/>
    <s v="Carlos Mendoza Enriquez"/>
    <x v="3"/>
    <s v="Other"/>
    <n v="50"/>
    <x v="1"/>
    <x v="423"/>
    <x v="2"/>
    <x v="2"/>
    <x v="1"/>
    <n v="458"/>
    <x v="5"/>
  </r>
  <r>
    <n v="1454"/>
    <s v="Carlos Uy Diaz"/>
    <x v="1"/>
    <s v="Male"/>
    <n v="59"/>
    <x v="1"/>
    <x v="424"/>
    <x v="174"/>
    <x v="6"/>
    <x v="0"/>
    <n v="1432"/>
    <x v="4"/>
  </r>
  <r>
    <n v="1455"/>
    <s v="Jerome Macaraeg"/>
    <x v="4"/>
    <s v="Male"/>
    <n v="58"/>
    <x v="1"/>
    <x v="425"/>
    <x v="2"/>
    <x v="2"/>
    <x v="1"/>
    <n v="2474"/>
    <x v="6"/>
  </r>
  <r>
    <n v="1456"/>
    <s v="Nina Ramirez"/>
    <x v="1"/>
    <s v="Female"/>
    <n v="35"/>
    <x v="0"/>
    <x v="426"/>
    <x v="2"/>
    <x v="2"/>
    <x v="1"/>
    <n v="474"/>
    <x v="5"/>
  </r>
  <r>
    <n v="1457"/>
    <s v="Gani Garcia Hilario"/>
    <x v="4"/>
    <s v="Male"/>
    <n v="49"/>
    <x v="2"/>
    <x v="427"/>
    <x v="2"/>
    <x v="2"/>
    <x v="1"/>
    <n v="1629"/>
    <x v="0"/>
  </r>
  <r>
    <n v="1458"/>
    <s v="Jordan Reyes Dela Torre"/>
    <x v="2"/>
    <s v="Other"/>
    <n v="29"/>
    <x v="3"/>
    <x v="428"/>
    <x v="175"/>
    <x v="3"/>
    <x v="0"/>
    <n v="841"/>
    <x v="7"/>
  </r>
  <r>
    <n v="1459"/>
    <s v="Xander Rivera"/>
    <x v="2"/>
    <s v="Male"/>
    <n v="58"/>
    <x v="1"/>
    <x v="429"/>
    <x v="2"/>
    <x v="2"/>
    <x v="1"/>
    <n v="727"/>
    <x v="5"/>
  </r>
  <r>
    <n v="1460"/>
    <s v="Ernesto Pascual Evangelista"/>
    <x v="0"/>
    <s v="Male"/>
    <n v="55"/>
    <x v="1"/>
    <x v="430"/>
    <x v="2"/>
    <x v="2"/>
    <x v="1"/>
    <n v="1165"/>
    <x v="4"/>
  </r>
  <r>
    <n v="1461"/>
    <s v="Gregorio Lopez Cueto"/>
    <x v="1"/>
    <s v="Male"/>
    <n v="26"/>
    <x v="3"/>
    <x v="431"/>
    <x v="176"/>
    <x v="7"/>
    <x v="0"/>
    <n v="111"/>
    <x v="1"/>
  </r>
  <r>
    <n v="1462"/>
    <s v="Jamie Tan"/>
    <x v="1"/>
    <s v="Other"/>
    <n v="30"/>
    <x v="0"/>
    <x v="432"/>
    <x v="2"/>
    <x v="2"/>
    <x v="1"/>
    <n v="1118"/>
    <x v="4"/>
  </r>
  <r>
    <n v="1463"/>
    <s v="Mae Go Evangelista"/>
    <x v="1"/>
    <s v="Female"/>
    <n v="35"/>
    <x v="0"/>
    <x v="433"/>
    <x v="2"/>
    <x v="2"/>
    <x v="1"/>
    <n v="2923"/>
    <x v="8"/>
  </r>
  <r>
    <n v="1464"/>
    <s v="Mae Zulueta"/>
    <x v="2"/>
    <s v="Female"/>
    <n v="41"/>
    <x v="2"/>
    <x v="291"/>
    <x v="2"/>
    <x v="2"/>
    <x v="1"/>
    <n v="2676"/>
    <x v="3"/>
  </r>
  <r>
    <n v="1465"/>
    <s v="Gloria Ramirez Delmendo"/>
    <x v="2"/>
    <s v="Female"/>
    <n v="55"/>
    <x v="1"/>
    <x v="434"/>
    <x v="177"/>
    <x v="5"/>
    <x v="0"/>
    <n v="477"/>
    <x v="5"/>
  </r>
  <r>
    <n v="1466"/>
    <s v="Bong Ramos Santos"/>
    <x v="0"/>
    <s v="Male"/>
    <n v="43"/>
    <x v="2"/>
    <x v="435"/>
    <x v="2"/>
    <x v="2"/>
    <x v="1"/>
    <n v="1104"/>
    <x v="4"/>
  </r>
  <r>
    <n v="1467"/>
    <s v="Nina Quiambao"/>
    <x v="4"/>
    <s v="Female"/>
    <n v="53"/>
    <x v="1"/>
    <x v="436"/>
    <x v="178"/>
    <x v="0"/>
    <x v="0"/>
    <n v="166"/>
    <x v="1"/>
  </r>
  <r>
    <n v="1468"/>
    <s v="Hazel Lopez Umali"/>
    <x v="1"/>
    <s v="Female"/>
    <n v="42"/>
    <x v="2"/>
    <x v="437"/>
    <x v="2"/>
    <x v="2"/>
    <x v="1"/>
    <n v="2634"/>
    <x v="3"/>
  </r>
  <r>
    <n v="1469"/>
    <s v="Kim Garcia"/>
    <x v="5"/>
    <s v="Male"/>
    <n v="36"/>
    <x v="0"/>
    <x v="438"/>
    <x v="179"/>
    <x v="0"/>
    <x v="0"/>
    <n v="749"/>
    <x v="7"/>
  </r>
  <r>
    <n v="1470"/>
    <s v="Tess Pascual Zulueta"/>
    <x v="1"/>
    <s v="Female"/>
    <n v="32"/>
    <x v="0"/>
    <x v="439"/>
    <x v="2"/>
    <x v="2"/>
    <x v="1"/>
    <n v="982"/>
    <x v="7"/>
  </r>
  <r>
    <n v="1471"/>
    <s v="Erlinda Narvasa"/>
    <x v="3"/>
    <s v="Female"/>
    <n v="51"/>
    <x v="1"/>
    <x v="440"/>
    <x v="180"/>
    <x v="5"/>
    <x v="0"/>
    <n v="940"/>
    <x v="7"/>
  </r>
  <r>
    <n v="1472"/>
    <s v="Gerald Ocampo Roque"/>
    <x v="1"/>
    <s v="Male"/>
    <n v="37"/>
    <x v="0"/>
    <x v="441"/>
    <x v="2"/>
    <x v="2"/>
    <x v="1"/>
    <n v="2412"/>
    <x v="6"/>
  </r>
  <r>
    <n v="1473"/>
    <s v="Ernesto Chan Quiambao"/>
    <x v="1"/>
    <s v="Male"/>
    <n v="27"/>
    <x v="3"/>
    <x v="442"/>
    <x v="181"/>
    <x v="1"/>
    <x v="0"/>
    <n v="2155"/>
    <x v="2"/>
  </r>
  <r>
    <n v="1474"/>
    <s v="Danilo Umali"/>
    <x v="3"/>
    <s v="Male"/>
    <n v="55"/>
    <x v="1"/>
    <x v="443"/>
    <x v="2"/>
    <x v="2"/>
    <x v="1"/>
    <n v="1037"/>
    <x v="7"/>
  </r>
  <r>
    <n v="1475"/>
    <s v="Larry Cruz Camacho"/>
    <x v="3"/>
    <s v="Male"/>
    <n v="21"/>
    <x v="3"/>
    <x v="444"/>
    <x v="2"/>
    <x v="2"/>
    <x v="1"/>
    <n v="319"/>
    <x v="1"/>
  </r>
  <r>
    <n v="1476"/>
    <s v="Samuel Ramirez Ramirez"/>
    <x v="5"/>
    <s v="Male"/>
    <n v="51"/>
    <x v="1"/>
    <x v="445"/>
    <x v="182"/>
    <x v="8"/>
    <x v="0"/>
    <n v="1516"/>
    <x v="0"/>
  </r>
  <r>
    <n v="1477"/>
    <s v="Maria Santos Macapagal"/>
    <x v="3"/>
    <s v="Female"/>
    <n v="55"/>
    <x v="1"/>
    <x v="446"/>
    <x v="183"/>
    <x v="1"/>
    <x v="0"/>
    <n v="101"/>
    <x v="1"/>
  </r>
  <r>
    <n v="1478"/>
    <s v="Violeta Chan"/>
    <x v="4"/>
    <s v="Female"/>
    <n v="41"/>
    <x v="2"/>
    <x v="447"/>
    <x v="184"/>
    <x v="5"/>
    <x v="0"/>
    <n v="406"/>
    <x v="5"/>
  </r>
  <r>
    <n v="1479"/>
    <s v="Lorenzo Chan Bondoc"/>
    <x v="4"/>
    <s v="Male"/>
    <n v="38"/>
    <x v="0"/>
    <x v="11"/>
    <x v="2"/>
    <x v="2"/>
    <x v="1"/>
    <n v="311"/>
    <x v="1"/>
  </r>
  <r>
    <n v="1480"/>
    <s v="Vince Manalang"/>
    <x v="1"/>
    <s v="Male"/>
    <n v="51"/>
    <x v="1"/>
    <x v="448"/>
    <x v="2"/>
    <x v="2"/>
    <x v="1"/>
    <n v="2059"/>
    <x v="2"/>
  </r>
  <r>
    <n v="1481"/>
    <s v="Herminia Tan Fernandez"/>
    <x v="4"/>
    <s v="Female"/>
    <n v="28"/>
    <x v="3"/>
    <x v="449"/>
    <x v="2"/>
    <x v="2"/>
    <x v="1"/>
    <n v="2157"/>
    <x v="2"/>
  </r>
  <r>
    <n v="1482"/>
    <s v="Alex Dela Cruz"/>
    <x v="2"/>
    <s v="Other"/>
    <n v="24"/>
    <x v="3"/>
    <x v="450"/>
    <x v="2"/>
    <x v="2"/>
    <x v="1"/>
    <n v="2440"/>
    <x v="6"/>
  </r>
  <r>
    <n v="1483"/>
    <s v="Antonio Tan Obispo"/>
    <x v="0"/>
    <s v="Male"/>
    <n v="26"/>
    <x v="3"/>
    <x v="451"/>
    <x v="81"/>
    <x v="0"/>
    <x v="0"/>
    <n v="1608"/>
    <x v="0"/>
  </r>
  <r>
    <n v="1484"/>
    <s v="Victor Pascual Reyes"/>
    <x v="0"/>
    <s v="Male"/>
    <n v="24"/>
    <x v="3"/>
    <x v="452"/>
    <x v="2"/>
    <x v="2"/>
    <x v="1"/>
    <n v="2381"/>
    <x v="6"/>
  </r>
  <r>
    <n v="1485"/>
    <s v="Josephine Pascual"/>
    <x v="1"/>
    <s v="Other"/>
    <n v="53"/>
    <x v="1"/>
    <x v="453"/>
    <x v="2"/>
    <x v="2"/>
    <x v="1"/>
    <n v="986"/>
    <x v="7"/>
  </r>
  <r>
    <n v="1486"/>
    <s v="Oliver Crisostomo"/>
    <x v="4"/>
    <s v="Male"/>
    <n v="31"/>
    <x v="0"/>
    <x v="454"/>
    <x v="2"/>
    <x v="2"/>
    <x v="1"/>
    <n v="2743"/>
    <x v="3"/>
  </r>
  <r>
    <n v="1487"/>
    <s v="Sue Aguilar Narvasa"/>
    <x v="4"/>
    <s v="Female"/>
    <n v="21"/>
    <x v="3"/>
    <x v="455"/>
    <x v="93"/>
    <x v="8"/>
    <x v="0"/>
    <n v="101"/>
    <x v="1"/>
  </r>
  <r>
    <n v="1488"/>
    <s v="Roberto Mendoza Soriano"/>
    <x v="1"/>
    <s v="Other"/>
    <n v="50"/>
    <x v="1"/>
    <x v="456"/>
    <x v="2"/>
    <x v="2"/>
    <x v="1"/>
    <n v="1444"/>
    <x v="4"/>
  </r>
  <r>
    <n v="1489"/>
    <s v="Severino Fajardo"/>
    <x v="0"/>
    <s v="Male"/>
    <n v="42"/>
    <x v="2"/>
    <x v="457"/>
    <x v="2"/>
    <x v="2"/>
    <x v="1"/>
    <n v="2619"/>
    <x v="3"/>
  </r>
  <r>
    <n v="1490"/>
    <s v="Eduardo Buenaventura"/>
    <x v="0"/>
    <s v="Other"/>
    <n v="45"/>
    <x v="2"/>
    <x v="458"/>
    <x v="2"/>
    <x v="2"/>
    <x v="1"/>
    <n v="792"/>
    <x v="7"/>
  </r>
  <r>
    <n v="1491"/>
    <s v="Teodoro Ramirez Aquino"/>
    <x v="4"/>
    <s v="Male"/>
    <n v="58"/>
    <x v="1"/>
    <x v="459"/>
    <x v="2"/>
    <x v="2"/>
    <x v="1"/>
    <n v="2986"/>
    <x v="8"/>
  </r>
  <r>
    <n v="1492"/>
    <s v="Mae Domingo Fajardo"/>
    <x v="5"/>
    <s v="Female"/>
    <n v="41"/>
    <x v="2"/>
    <x v="460"/>
    <x v="2"/>
    <x v="2"/>
    <x v="1"/>
    <n v="1409"/>
    <x v="4"/>
  </r>
  <r>
    <n v="1493"/>
    <s v="Jacqueline Flores Tuazon"/>
    <x v="4"/>
    <s v="Female"/>
    <n v="42"/>
    <x v="2"/>
    <x v="64"/>
    <x v="2"/>
    <x v="2"/>
    <x v="1"/>
    <n v="2787"/>
    <x v="3"/>
  </r>
  <r>
    <n v="1494"/>
    <s v="Rosalinda Domingo San Pedro"/>
    <x v="2"/>
    <s v="Female"/>
    <n v="33"/>
    <x v="0"/>
    <x v="461"/>
    <x v="2"/>
    <x v="2"/>
    <x v="1"/>
    <n v="1055"/>
    <x v="7"/>
  </r>
  <r>
    <n v="1495"/>
    <s v="Rowena Figueroa"/>
    <x v="1"/>
    <s v="Female"/>
    <n v="36"/>
    <x v="0"/>
    <x v="462"/>
    <x v="185"/>
    <x v="0"/>
    <x v="0"/>
    <n v="488"/>
    <x v="5"/>
  </r>
  <r>
    <n v="1496"/>
    <s v="Patricia Aguilar Trinidad"/>
    <x v="0"/>
    <s v="Female"/>
    <n v="55"/>
    <x v="1"/>
    <x v="463"/>
    <x v="2"/>
    <x v="2"/>
    <x v="1"/>
    <n v="2925"/>
    <x v="8"/>
  </r>
  <r>
    <n v="1497"/>
    <s v="Maricel Sy Flores"/>
    <x v="0"/>
    <s v="Other"/>
    <n v="53"/>
    <x v="1"/>
    <x v="464"/>
    <x v="2"/>
    <x v="2"/>
    <x v="1"/>
    <n v="1951"/>
    <x v="2"/>
  </r>
  <r>
    <n v="1498"/>
    <s v="Hernando Roque"/>
    <x v="0"/>
    <s v="Male"/>
    <n v="53"/>
    <x v="1"/>
    <x v="465"/>
    <x v="2"/>
    <x v="2"/>
    <x v="1"/>
    <n v="1676"/>
    <x v="0"/>
  </r>
  <r>
    <n v="1499"/>
    <s v="Leonard Santiago Narvasa"/>
    <x v="5"/>
    <s v="Male"/>
    <n v="21"/>
    <x v="3"/>
    <x v="466"/>
    <x v="2"/>
    <x v="2"/>
    <x v="1"/>
    <n v="3050"/>
    <x v="8"/>
  </r>
  <r>
    <n v="1500"/>
    <s v="Karen Sy Evangelista"/>
    <x v="0"/>
    <s v="Female"/>
    <n v="56"/>
    <x v="1"/>
    <x v="467"/>
    <x v="186"/>
    <x v="4"/>
    <x v="0"/>
    <n v="1055"/>
    <x v="7"/>
  </r>
  <r>
    <n v="1501"/>
    <s v="Fernando Ramos Natividad"/>
    <x v="1"/>
    <s v="Other"/>
    <n v="44"/>
    <x v="2"/>
    <x v="468"/>
    <x v="2"/>
    <x v="2"/>
    <x v="1"/>
    <n v="1603"/>
    <x v="0"/>
  </r>
  <r>
    <n v="1502"/>
    <s v="Rowena Lacson"/>
    <x v="3"/>
    <s v="Other"/>
    <n v="27"/>
    <x v="3"/>
    <x v="469"/>
    <x v="2"/>
    <x v="2"/>
    <x v="1"/>
    <n v="1993"/>
    <x v="2"/>
  </r>
  <r>
    <n v="1503"/>
    <s v="Jose Navarro Camacho"/>
    <x v="1"/>
    <s v="Other"/>
    <n v="30"/>
    <x v="0"/>
    <x v="470"/>
    <x v="2"/>
    <x v="2"/>
    <x v="1"/>
    <n v="1161"/>
    <x v="4"/>
  </r>
  <r>
    <n v="1504"/>
    <s v="Pilar Rivera"/>
    <x v="2"/>
    <s v="Female"/>
    <n v="56"/>
    <x v="1"/>
    <x v="471"/>
    <x v="187"/>
    <x v="1"/>
    <x v="0"/>
    <n v="191"/>
    <x v="1"/>
  </r>
  <r>
    <n v="1505"/>
    <s v="Severino Torres Manalang"/>
    <x v="0"/>
    <s v="Male"/>
    <n v="49"/>
    <x v="2"/>
    <x v="472"/>
    <x v="188"/>
    <x v="8"/>
    <x v="0"/>
    <n v="827"/>
    <x v="7"/>
  </r>
  <r>
    <n v="1506"/>
    <s v="Neil Soriano"/>
    <x v="4"/>
    <s v="Male"/>
    <n v="33"/>
    <x v="0"/>
    <x v="473"/>
    <x v="2"/>
    <x v="2"/>
    <x v="1"/>
    <n v="736"/>
    <x v="7"/>
  </r>
  <r>
    <n v="1507"/>
    <s v="Warren Pascual Ramos"/>
    <x v="4"/>
    <s v="Male"/>
    <n v="53"/>
    <x v="1"/>
    <x v="474"/>
    <x v="2"/>
    <x v="2"/>
    <x v="1"/>
    <n v="1102"/>
    <x v="4"/>
  </r>
  <r>
    <n v="1508"/>
    <s v="Danilo Camacho"/>
    <x v="0"/>
    <s v="Other"/>
    <n v="31"/>
    <x v="0"/>
    <x v="475"/>
    <x v="2"/>
    <x v="2"/>
    <x v="1"/>
    <n v="475"/>
    <x v="5"/>
  </r>
  <r>
    <n v="1509"/>
    <s v="Fernando Quiambao"/>
    <x v="0"/>
    <s v="Other"/>
    <n v="59"/>
    <x v="1"/>
    <x v="476"/>
    <x v="189"/>
    <x v="6"/>
    <x v="0"/>
    <n v="1024"/>
    <x v="7"/>
  </r>
  <r>
    <n v="1510"/>
    <s v="Warren Reyes Bondoc"/>
    <x v="4"/>
    <s v="Male"/>
    <n v="44"/>
    <x v="2"/>
    <x v="271"/>
    <x v="2"/>
    <x v="2"/>
    <x v="1"/>
    <n v="694"/>
    <x v="5"/>
  </r>
  <r>
    <n v="1511"/>
    <s v="Natividad Mendoza Pascual"/>
    <x v="1"/>
    <s v="Female"/>
    <n v="37"/>
    <x v="0"/>
    <x v="477"/>
    <x v="2"/>
    <x v="2"/>
    <x v="1"/>
    <n v="228"/>
    <x v="1"/>
  </r>
  <r>
    <n v="1512"/>
    <s v="Casey Fernandez Lopez"/>
    <x v="1"/>
    <s v="Other"/>
    <n v="56"/>
    <x v="1"/>
    <x v="478"/>
    <x v="190"/>
    <x v="8"/>
    <x v="0"/>
    <n v="1716"/>
    <x v="0"/>
  </r>
  <r>
    <n v="1513"/>
    <s v="Avery Elegado"/>
    <x v="1"/>
    <s v="Other"/>
    <n v="54"/>
    <x v="1"/>
    <x v="479"/>
    <x v="191"/>
    <x v="6"/>
    <x v="0"/>
    <n v="1600"/>
    <x v="0"/>
  </r>
  <r>
    <n v="1514"/>
    <s v="Oscar Ramos Wong"/>
    <x v="1"/>
    <s v="Male"/>
    <n v="41"/>
    <x v="2"/>
    <x v="125"/>
    <x v="2"/>
    <x v="2"/>
    <x v="1"/>
    <n v="1148"/>
    <x v="4"/>
  </r>
  <r>
    <n v="1515"/>
    <s v="Maricel Soriano Lacson"/>
    <x v="3"/>
    <s v="Other"/>
    <n v="32"/>
    <x v="0"/>
    <x v="480"/>
    <x v="2"/>
    <x v="2"/>
    <x v="1"/>
    <n v="678"/>
    <x v="5"/>
  </r>
  <r>
    <n v="1516"/>
    <s v="Jerome Soriano Bondoc"/>
    <x v="3"/>
    <s v="Male"/>
    <n v="35"/>
    <x v="0"/>
    <x v="481"/>
    <x v="2"/>
    <x v="2"/>
    <x v="1"/>
    <n v="2732"/>
    <x v="3"/>
  </r>
  <r>
    <n v="1517"/>
    <s v="Gani Sy Umali"/>
    <x v="1"/>
    <s v="Male"/>
    <n v="29"/>
    <x v="3"/>
    <x v="3"/>
    <x v="192"/>
    <x v="0"/>
    <x v="0"/>
    <n v="1185"/>
    <x v="4"/>
  </r>
  <r>
    <n v="1518"/>
    <s v="Timothy Rivera Tolentino"/>
    <x v="2"/>
    <s v="Male"/>
    <n v="21"/>
    <x v="3"/>
    <x v="482"/>
    <x v="193"/>
    <x v="3"/>
    <x v="0"/>
    <n v="511"/>
    <x v="5"/>
  </r>
  <r>
    <n v="1519"/>
    <s v="Mae Solis"/>
    <x v="2"/>
    <s v="Female"/>
    <n v="26"/>
    <x v="3"/>
    <x v="483"/>
    <x v="2"/>
    <x v="2"/>
    <x v="1"/>
    <n v="1369"/>
    <x v="4"/>
  </r>
  <r>
    <n v="1520"/>
    <s v="Teresa Torres Navarro"/>
    <x v="5"/>
    <s v="Female"/>
    <n v="55"/>
    <x v="1"/>
    <x v="484"/>
    <x v="2"/>
    <x v="2"/>
    <x v="1"/>
    <n v="1997"/>
    <x v="2"/>
  </r>
  <r>
    <n v="1521"/>
    <s v="Jaime Bautista Dalisay"/>
    <x v="0"/>
    <s v="Male"/>
    <n v="38"/>
    <x v="0"/>
    <x v="485"/>
    <x v="2"/>
    <x v="2"/>
    <x v="1"/>
    <n v="229"/>
    <x v="1"/>
  </r>
  <r>
    <n v="1522"/>
    <s v="Ana Santos Lim"/>
    <x v="3"/>
    <s v="Female"/>
    <n v="27"/>
    <x v="3"/>
    <x v="486"/>
    <x v="194"/>
    <x v="5"/>
    <x v="0"/>
    <n v="1554"/>
    <x v="0"/>
  </r>
  <r>
    <n v="1523"/>
    <s v="Cardo Jimenez"/>
    <x v="0"/>
    <s v="Male"/>
    <n v="40"/>
    <x v="2"/>
    <x v="487"/>
    <x v="2"/>
    <x v="2"/>
    <x v="1"/>
    <n v="1057"/>
    <x v="7"/>
  </r>
  <r>
    <n v="1524"/>
    <s v="Elena Domingo Navarro"/>
    <x v="4"/>
    <s v="Other"/>
    <n v="30"/>
    <x v="0"/>
    <x v="488"/>
    <x v="195"/>
    <x v="0"/>
    <x v="0"/>
    <n v="1697"/>
    <x v="0"/>
  </r>
  <r>
    <n v="1525"/>
    <s v="Luisa Uy"/>
    <x v="2"/>
    <s v="Other"/>
    <n v="28"/>
    <x v="3"/>
    <x v="489"/>
    <x v="2"/>
    <x v="2"/>
    <x v="1"/>
    <n v="2079"/>
    <x v="2"/>
  </r>
  <r>
    <n v="1526"/>
    <s v="Lorenzo Soriano Tuazon"/>
    <x v="1"/>
    <s v="Male"/>
    <n v="27"/>
    <x v="3"/>
    <x v="254"/>
    <x v="2"/>
    <x v="2"/>
    <x v="1"/>
    <n v="964"/>
    <x v="7"/>
  </r>
  <r>
    <n v="1527"/>
    <s v="Violeta Umali"/>
    <x v="3"/>
    <s v="Female"/>
    <n v="23"/>
    <x v="3"/>
    <x v="490"/>
    <x v="2"/>
    <x v="2"/>
    <x v="1"/>
    <n v="847"/>
    <x v="7"/>
  </r>
  <r>
    <n v="1528"/>
    <s v="Fernando Mercado Narvasa"/>
    <x v="1"/>
    <s v="Other"/>
    <n v="55"/>
    <x v="1"/>
    <x v="491"/>
    <x v="196"/>
    <x v="6"/>
    <x v="0"/>
    <n v="1868"/>
    <x v="2"/>
  </r>
  <r>
    <n v="1529"/>
    <s v="Patricia Ang Dela Cruz"/>
    <x v="1"/>
    <s v="Female"/>
    <n v="51"/>
    <x v="1"/>
    <x v="492"/>
    <x v="2"/>
    <x v="2"/>
    <x v="1"/>
    <n v="279"/>
    <x v="1"/>
  </r>
  <r>
    <n v="1530"/>
    <s v="Ronaldo Navarro Flores"/>
    <x v="1"/>
    <s v="Male"/>
    <n v="24"/>
    <x v="3"/>
    <x v="493"/>
    <x v="197"/>
    <x v="1"/>
    <x v="0"/>
    <n v="720"/>
    <x v="5"/>
  </r>
  <r>
    <n v="1531"/>
    <s v="Sam Ramos Hernandez"/>
    <x v="3"/>
    <s v="Other"/>
    <n v="43"/>
    <x v="2"/>
    <x v="494"/>
    <x v="2"/>
    <x v="2"/>
    <x v="1"/>
    <n v="1302"/>
    <x v="4"/>
  </r>
  <r>
    <n v="1532"/>
    <s v="Kristina Go Guerrero"/>
    <x v="4"/>
    <s v="Female"/>
    <n v="49"/>
    <x v="2"/>
    <x v="495"/>
    <x v="198"/>
    <x v="0"/>
    <x v="0"/>
    <n v="591"/>
    <x v="5"/>
  </r>
  <r>
    <n v="1533"/>
    <s v="Roberto Santos Guerrero"/>
    <x v="4"/>
    <s v="Other"/>
    <n v="56"/>
    <x v="1"/>
    <x v="496"/>
    <x v="199"/>
    <x v="5"/>
    <x v="0"/>
    <n v="724"/>
    <x v="5"/>
  </r>
  <r>
    <n v="1534"/>
    <s v="Jerome Ocampo Trinidad"/>
    <x v="5"/>
    <s v="Male"/>
    <n v="32"/>
    <x v="0"/>
    <x v="497"/>
    <x v="2"/>
    <x v="2"/>
    <x v="1"/>
    <n v="3022"/>
    <x v="8"/>
  </r>
  <r>
    <n v="1535"/>
    <s v="Ian Pascual Hilario"/>
    <x v="5"/>
    <s v="Male"/>
    <n v="45"/>
    <x v="2"/>
    <x v="498"/>
    <x v="2"/>
    <x v="2"/>
    <x v="1"/>
    <n v="2321"/>
    <x v="6"/>
  </r>
  <r>
    <n v="1536"/>
    <s v="Carlos Garcia"/>
    <x v="4"/>
    <s v="Male"/>
    <n v="28"/>
    <x v="3"/>
    <x v="243"/>
    <x v="2"/>
    <x v="2"/>
    <x v="1"/>
    <n v="2704"/>
    <x v="3"/>
  </r>
  <r>
    <n v="1537"/>
    <s v="Taylor Rivera Ocampo"/>
    <x v="1"/>
    <s v="Other"/>
    <n v="33"/>
    <x v="0"/>
    <x v="499"/>
    <x v="2"/>
    <x v="2"/>
    <x v="1"/>
    <n v="2660"/>
    <x v="3"/>
  </r>
  <r>
    <n v="1538"/>
    <s v="Manuel Reyes"/>
    <x v="5"/>
    <s v="Male"/>
    <n v="58"/>
    <x v="1"/>
    <x v="500"/>
    <x v="200"/>
    <x v="7"/>
    <x v="0"/>
    <n v="542"/>
    <x v="5"/>
  </r>
  <r>
    <n v="1539"/>
    <s v="Fernando Lim Evangelista"/>
    <x v="1"/>
    <s v="Male"/>
    <n v="26"/>
    <x v="3"/>
    <x v="212"/>
    <x v="2"/>
    <x v="2"/>
    <x v="1"/>
    <n v="1181"/>
    <x v="4"/>
  </r>
  <r>
    <n v="1540"/>
    <s v="Manuel Villanueva"/>
    <x v="2"/>
    <s v="Other"/>
    <n v="24"/>
    <x v="3"/>
    <x v="501"/>
    <x v="35"/>
    <x v="1"/>
    <x v="0"/>
    <n v="110"/>
    <x v="1"/>
  </r>
  <r>
    <n v="1541"/>
    <s v="Leonora Elegado"/>
    <x v="3"/>
    <s v="Female"/>
    <n v="35"/>
    <x v="0"/>
    <x v="502"/>
    <x v="2"/>
    <x v="2"/>
    <x v="1"/>
    <n v="921"/>
    <x v="7"/>
  </r>
  <r>
    <n v="1542"/>
    <s v="Taylor Go Zulueta"/>
    <x v="0"/>
    <s v="Other"/>
    <n v="56"/>
    <x v="1"/>
    <x v="503"/>
    <x v="2"/>
    <x v="2"/>
    <x v="1"/>
    <n v="812"/>
    <x v="7"/>
  </r>
  <r>
    <n v="1543"/>
    <s v="Pete Lopez Vergara"/>
    <x v="5"/>
    <s v="Male"/>
    <n v="27"/>
    <x v="3"/>
    <x v="504"/>
    <x v="2"/>
    <x v="2"/>
    <x v="1"/>
    <n v="2415"/>
    <x v="6"/>
  </r>
  <r>
    <n v="1544"/>
    <s v="Elmer Sy Ignacio"/>
    <x v="0"/>
    <s v="Male"/>
    <n v="43"/>
    <x v="2"/>
    <x v="505"/>
    <x v="2"/>
    <x v="2"/>
    <x v="1"/>
    <n v="1808"/>
    <x v="0"/>
  </r>
  <r>
    <n v="1545"/>
    <s v="Leonard Hilario"/>
    <x v="2"/>
    <s v="Male"/>
    <n v="36"/>
    <x v="0"/>
    <x v="458"/>
    <x v="2"/>
    <x v="2"/>
    <x v="1"/>
    <n v="792"/>
    <x v="7"/>
  </r>
  <r>
    <n v="1546"/>
    <s v="Cristina Soriano Cruz"/>
    <x v="4"/>
    <s v="Other"/>
    <n v="49"/>
    <x v="2"/>
    <x v="506"/>
    <x v="201"/>
    <x v="4"/>
    <x v="0"/>
    <n v="160"/>
    <x v="1"/>
  </r>
  <r>
    <n v="1547"/>
    <s v="Fernando Fernandez Hilario"/>
    <x v="1"/>
    <s v="Other"/>
    <n v="34"/>
    <x v="0"/>
    <x v="507"/>
    <x v="202"/>
    <x v="4"/>
    <x v="0"/>
    <n v="1773"/>
    <x v="0"/>
  </r>
  <r>
    <n v="1548"/>
    <s v="Danilo Flores Macapagal"/>
    <x v="1"/>
    <s v="Male"/>
    <n v="59"/>
    <x v="1"/>
    <x v="508"/>
    <x v="203"/>
    <x v="6"/>
    <x v="0"/>
    <n v="1113"/>
    <x v="4"/>
  </r>
  <r>
    <n v="1549"/>
    <s v="Maricel Soriano Fernandez"/>
    <x v="5"/>
    <s v="Other"/>
    <n v="51"/>
    <x v="1"/>
    <x v="346"/>
    <x v="2"/>
    <x v="2"/>
    <x v="1"/>
    <n v="2390"/>
    <x v="6"/>
  </r>
  <r>
    <n v="1550"/>
    <s v="Danilo Manalang"/>
    <x v="1"/>
    <s v="Other"/>
    <n v="45"/>
    <x v="2"/>
    <x v="509"/>
    <x v="2"/>
    <x v="2"/>
    <x v="1"/>
    <n v="2777"/>
    <x v="3"/>
  </r>
  <r>
    <n v="1551"/>
    <s v="Cristina Reyes"/>
    <x v="4"/>
    <s v="Other"/>
    <n v="28"/>
    <x v="3"/>
    <x v="510"/>
    <x v="2"/>
    <x v="2"/>
    <x v="1"/>
    <n v="2170"/>
    <x v="2"/>
  </r>
  <r>
    <n v="1552"/>
    <s v="Florinda Mendoza"/>
    <x v="0"/>
    <s v="Female"/>
    <n v="57"/>
    <x v="1"/>
    <x v="511"/>
    <x v="204"/>
    <x v="6"/>
    <x v="0"/>
    <n v="702"/>
    <x v="5"/>
  </r>
  <r>
    <n v="1553"/>
    <s v="Cameron Chan Flores"/>
    <x v="3"/>
    <s v="Other"/>
    <n v="62"/>
    <x v="4"/>
    <x v="512"/>
    <x v="205"/>
    <x v="6"/>
    <x v="0"/>
    <n v="532"/>
    <x v="5"/>
  </r>
  <r>
    <n v="1554"/>
    <s v="Belinda Castro Ramirez"/>
    <x v="0"/>
    <s v="Female"/>
    <n v="46"/>
    <x v="2"/>
    <x v="513"/>
    <x v="206"/>
    <x v="5"/>
    <x v="0"/>
    <n v="1117"/>
    <x v="4"/>
  </r>
  <r>
    <n v="1555"/>
    <s v="Mark Aguilar Uy"/>
    <x v="0"/>
    <s v="Male"/>
    <n v="33"/>
    <x v="0"/>
    <x v="514"/>
    <x v="2"/>
    <x v="2"/>
    <x v="1"/>
    <n v="800"/>
    <x v="7"/>
  </r>
  <r>
    <n v="1556"/>
    <s v="Harold Reyes Diaz"/>
    <x v="5"/>
    <s v="Male"/>
    <n v="57"/>
    <x v="1"/>
    <x v="481"/>
    <x v="207"/>
    <x v="5"/>
    <x v="0"/>
    <n v="1784"/>
    <x v="0"/>
  </r>
  <r>
    <n v="1557"/>
    <s v="Cherry Cruz Trinidad"/>
    <x v="5"/>
    <s v="Female"/>
    <n v="43"/>
    <x v="2"/>
    <x v="515"/>
    <x v="2"/>
    <x v="2"/>
    <x v="1"/>
    <n v="574"/>
    <x v="5"/>
  </r>
  <r>
    <n v="1558"/>
    <s v="Rowena Gonzales"/>
    <x v="3"/>
    <s v="Female"/>
    <n v="44"/>
    <x v="2"/>
    <x v="516"/>
    <x v="2"/>
    <x v="2"/>
    <x v="1"/>
    <n v="2460"/>
    <x v="6"/>
  </r>
  <r>
    <n v="1559"/>
    <s v="Christian Diaz Natividad"/>
    <x v="4"/>
    <s v="Male"/>
    <n v="30"/>
    <x v="0"/>
    <x v="517"/>
    <x v="208"/>
    <x v="3"/>
    <x v="0"/>
    <n v="1510"/>
    <x v="0"/>
  </r>
  <r>
    <n v="1560"/>
    <s v="Teodoro Fernandez Hilario"/>
    <x v="1"/>
    <s v="Male"/>
    <n v="34"/>
    <x v="0"/>
    <x v="407"/>
    <x v="2"/>
    <x v="2"/>
    <x v="1"/>
    <n v="860"/>
    <x v="7"/>
  </r>
  <r>
    <n v="1561"/>
    <s v="Mark Bautista Garcia"/>
    <x v="5"/>
    <s v="Male"/>
    <n v="45"/>
    <x v="2"/>
    <x v="518"/>
    <x v="2"/>
    <x v="2"/>
    <x v="1"/>
    <n v="711"/>
    <x v="5"/>
  </r>
  <r>
    <n v="1562"/>
    <s v="Alex Aguilar Aquino"/>
    <x v="4"/>
    <s v="Other"/>
    <n v="38"/>
    <x v="0"/>
    <x v="519"/>
    <x v="2"/>
    <x v="2"/>
    <x v="1"/>
    <n v="2881"/>
    <x v="3"/>
  </r>
  <r>
    <n v="1563"/>
    <s v="Pilar Navarro Lazo"/>
    <x v="5"/>
    <s v="Other"/>
    <n v="62"/>
    <x v="4"/>
    <x v="520"/>
    <x v="209"/>
    <x v="6"/>
    <x v="0"/>
    <n v="1673"/>
    <x v="0"/>
  </r>
  <r>
    <n v="1564"/>
    <s v="Miguel Soriano Garcia"/>
    <x v="0"/>
    <s v="Male"/>
    <n v="26"/>
    <x v="3"/>
    <x v="268"/>
    <x v="210"/>
    <x v="8"/>
    <x v="0"/>
    <n v="1965"/>
    <x v="2"/>
  </r>
  <r>
    <n v="1565"/>
    <s v="Bryan Sy"/>
    <x v="4"/>
    <s v="Male"/>
    <n v="31"/>
    <x v="0"/>
    <x v="521"/>
    <x v="211"/>
    <x v="5"/>
    <x v="0"/>
    <n v="1531"/>
    <x v="0"/>
  </r>
  <r>
    <n v="1566"/>
    <s v="Luisa Jacinto"/>
    <x v="3"/>
    <s v="Female"/>
    <n v="24"/>
    <x v="3"/>
    <x v="522"/>
    <x v="212"/>
    <x v="3"/>
    <x v="0"/>
    <n v="288"/>
    <x v="1"/>
  </r>
  <r>
    <n v="1567"/>
    <s v="Osvaldo Fernandez Camacho"/>
    <x v="1"/>
    <s v="Male"/>
    <n v="46"/>
    <x v="2"/>
    <x v="523"/>
    <x v="146"/>
    <x v="8"/>
    <x v="0"/>
    <n v="285"/>
    <x v="1"/>
  </r>
  <r>
    <n v="1568"/>
    <s v="Natividad Castro Corpuz"/>
    <x v="4"/>
    <s v="Female"/>
    <n v="42"/>
    <x v="2"/>
    <x v="524"/>
    <x v="2"/>
    <x v="2"/>
    <x v="1"/>
    <n v="1259"/>
    <x v="4"/>
  </r>
  <r>
    <n v="1569"/>
    <s v="Erlinda Corpuz"/>
    <x v="2"/>
    <s v="Female"/>
    <n v="54"/>
    <x v="1"/>
    <x v="525"/>
    <x v="2"/>
    <x v="2"/>
    <x v="1"/>
    <n v="2545"/>
    <x v="6"/>
  </r>
  <r>
    <n v="1570"/>
    <s v="Annaliza Fernandez Navarro"/>
    <x v="3"/>
    <s v="Female"/>
    <n v="56"/>
    <x v="1"/>
    <x v="526"/>
    <x v="2"/>
    <x v="2"/>
    <x v="1"/>
    <n v="915"/>
    <x v="7"/>
  </r>
  <r>
    <n v="1571"/>
    <s v="Fernando Domingo"/>
    <x v="5"/>
    <s v="Other"/>
    <n v="47"/>
    <x v="2"/>
    <x v="527"/>
    <x v="213"/>
    <x v="4"/>
    <x v="0"/>
    <n v="1394"/>
    <x v="4"/>
  </r>
  <r>
    <n v="1572"/>
    <s v="Queenie Reyes Perez"/>
    <x v="1"/>
    <s v="Female"/>
    <n v="38"/>
    <x v="0"/>
    <x v="528"/>
    <x v="2"/>
    <x v="2"/>
    <x v="1"/>
    <n v="618"/>
    <x v="5"/>
  </r>
  <r>
    <n v="1573"/>
    <s v="Cristina Tuazon"/>
    <x v="4"/>
    <s v="Other"/>
    <n v="51"/>
    <x v="1"/>
    <x v="529"/>
    <x v="2"/>
    <x v="2"/>
    <x v="1"/>
    <n v="2549"/>
    <x v="6"/>
  </r>
  <r>
    <n v="1574"/>
    <s v="Alex Wong"/>
    <x v="4"/>
    <s v="Other"/>
    <n v="63"/>
    <x v="4"/>
    <x v="530"/>
    <x v="214"/>
    <x v="6"/>
    <x v="0"/>
    <n v="485"/>
    <x v="5"/>
  </r>
  <r>
    <n v="1575"/>
    <s v="Gani Go Hernandez"/>
    <x v="1"/>
    <s v="Male"/>
    <n v="33"/>
    <x v="0"/>
    <x v="531"/>
    <x v="215"/>
    <x v="3"/>
    <x v="0"/>
    <n v="1889"/>
    <x v="2"/>
  </r>
  <r>
    <n v="1576"/>
    <s v="Leonard Cruz Obispo"/>
    <x v="2"/>
    <s v="Male"/>
    <n v="23"/>
    <x v="3"/>
    <x v="532"/>
    <x v="2"/>
    <x v="2"/>
    <x v="1"/>
    <n v="608"/>
    <x v="5"/>
  </r>
  <r>
    <n v="1577"/>
    <s v="Nathan Rivera San Pedro"/>
    <x v="0"/>
    <s v="Male"/>
    <n v="23"/>
    <x v="3"/>
    <x v="533"/>
    <x v="2"/>
    <x v="2"/>
    <x v="1"/>
    <n v="2092"/>
    <x v="2"/>
  </r>
  <r>
    <n v="1578"/>
    <s v="Wilfredo Pascual Suarez"/>
    <x v="0"/>
    <s v="Male"/>
    <n v="24"/>
    <x v="3"/>
    <x v="498"/>
    <x v="23"/>
    <x v="3"/>
    <x v="0"/>
    <n v="1720"/>
    <x v="0"/>
  </r>
  <r>
    <n v="1579"/>
    <s v="Daisy Dela Cruz"/>
    <x v="0"/>
    <s v="Female"/>
    <n v="54"/>
    <x v="1"/>
    <x v="534"/>
    <x v="2"/>
    <x v="2"/>
    <x v="1"/>
    <n v="2516"/>
    <x v="6"/>
  </r>
  <r>
    <n v="1580"/>
    <s v="Rodel Go Natividad"/>
    <x v="1"/>
    <s v="Other"/>
    <n v="55"/>
    <x v="1"/>
    <x v="222"/>
    <x v="2"/>
    <x v="2"/>
    <x v="1"/>
    <n v="2544"/>
    <x v="6"/>
  </r>
  <r>
    <n v="1581"/>
    <s v="Juan Miranda"/>
    <x v="0"/>
    <s v="Other"/>
    <n v="33"/>
    <x v="0"/>
    <x v="535"/>
    <x v="216"/>
    <x v="1"/>
    <x v="0"/>
    <n v="753"/>
    <x v="7"/>
  </r>
  <r>
    <n v="1582"/>
    <s v="Arnel Dela Torre"/>
    <x v="1"/>
    <s v="Other"/>
    <n v="44"/>
    <x v="2"/>
    <x v="536"/>
    <x v="2"/>
    <x v="2"/>
    <x v="1"/>
    <n v="2749"/>
    <x v="3"/>
  </r>
  <r>
    <n v="1583"/>
    <s v="Juan Fernandez Mangubat"/>
    <x v="0"/>
    <s v="Other"/>
    <n v="45"/>
    <x v="2"/>
    <x v="537"/>
    <x v="2"/>
    <x v="2"/>
    <x v="1"/>
    <n v="844"/>
    <x v="7"/>
  </r>
  <r>
    <n v="1584"/>
    <s v="Annaliza Flores"/>
    <x v="1"/>
    <s v="Female"/>
    <n v="55"/>
    <x v="1"/>
    <x v="538"/>
    <x v="217"/>
    <x v="6"/>
    <x v="0"/>
    <n v="1003"/>
    <x v="7"/>
  </r>
  <r>
    <n v="1585"/>
    <s v="Isabel Guerrero"/>
    <x v="1"/>
    <s v="Other"/>
    <n v="21"/>
    <x v="3"/>
    <x v="539"/>
    <x v="2"/>
    <x v="2"/>
    <x v="1"/>
    <n v="1220"/>
    <x v="4"/>
  </r>
  <r>
    <n v="1586"/>
    <s v="Alvin Santos Bondoc"/>
    <x v="0"/>
    <s v="Male"/>
    <n v="34"/>
    <x v="0"/>
    <x v="540"/>
    <x v="2"/>
    <x v="2"/>
    <x v="1"/>
    <n v="687"/>
    <x v="5"/>
  </r>
  <r>
    <n v="1587"/>
    <s v="Harold Cruz Ocampo"/>
    <x v="4"/>
    <s v="Male"/>
    <n v="56"/>
    <x v="1"/>
    <x v="379"/>
    <x v="218"/>
    <x v="0"/>
    <x v="0"/>
    <n v="697"/>
    <x v="5"/>
  </r>
  <r>
    <n v="1588"/>
    <s v="Riley Gonzales Lopez"/>
    <x v="5"/>
    <s v="Other"/>
    <n v="40"/>
    <x v="2"/>
    <x v="541"/>
    <x v="2"/>
    <x v="2"/>
    <x v="1"/>
    <n v="1742"/>
    <x v="0"/>
  </r>
  <r>
    <n v="1589"/>
    <s v="Nina Soriano Ocampo"/>
    <x v="1"/>
    <s v="Female"/>
    <n v="57"/>
    <x v="1"/>
    <x v="542"/>
    <x v="219"/>
    <x v="1"/>
    <x v="0"/>
    <n v="556"/>
    <x v="5"/>
  </r>
  <r>
    <n v="1590"/>
    <s v="Jordan Torres Chua"/>
    <x v="4"/>
    <s v="Other"/>
    <n v="25"/>
    <x v="3"/>
    <x v="543"/>
    <x v="2"/>
    <x v="2"/>
    <x v="1"/>
    <n v="1348"/>
    <x v="4"/>
  </r>
  <r>
    <n v="1591"/>
    <s v="Natividad Garcia Solis"/>
    <x v="5"/>
    <s v="Female"/>
    <n v="54"/>
    <x v="1"/>
    <x v="544"/>
    <x v="2"/>
    <x v="2"/>
    <x v="1"/>
    <n v="1404"/>
    <x v="4"/>
  </r>
  <r>
    <n v="1592"/>
    <s v="Rodel Vega Chan"/>
    <x v="0"/>
    <s v="Other"/>
    <n v="39"/>
    <x v="0"/>
    <x v="545"/>
    <x v="2"/>
    <x v="2"/>
    <x v="1"/>
    <n v="1349"/>
    <x v="4"/>
  </r>
  <r>
    <n v="1593"/>
    <s v="Ian Zamora"/>
    <x v="3"/>
    <s v="Male"/>
    <n v="52"/>
    <x v="1"/>
    <x v="546"/>
    <x v="2"/>
    <x v="2"/>
    <x v="1"/>
    <n v="970"/>
    <x v="7"/>
  </r>
  <r>
    <n v="1594"/>
    <s v="Annaliza San Pedro"/>
    <x v="2"/>
    <s v="Female"/>
    <n v="39"/>
    <x v="0"/>
    <x v="547"/>
    <x v="220"/>
    <x v="5"/>
    <x v="0"/>
    <n v="188"/>
    <x v="1"/>
  </r>
  <r>
    <n v="1595"/>
    <s v="Miguel Ocampo Hernandez"/>
    <x v="2"/>
    <s v="Other"/>
    <n v="47"/>
    <x v="2"/>
    <x v="75"/>
    <x v="221"/>
    <x v="0"/>
    <x v="0"/>
    <n v="959"/>
    <x v="7"/>
  </r>
  <r>
    <n v="1596"/>
    <s v="Sonny Solis"/>
    <x v="4"/>
    <s v="Male"/>
    <n v="41"/>
    <x v="2"/>
    <x v="548"/>
    <x v="222"/>
    <x v="5"/>
    <x v="0"/>
    <n v="1455"/>
    <x v="4"/>
  </r>
  <r>
    <n v="1597"/>
    <s v="Gina Ocampo"/>
    <x v="2"/>
    <s v="Female"/>
    <n v="42"/>
    <x v="2"/>
    <x v="549"/>
    <x v="2"/>
    <x v="2"/>
    <x v="1"/>
    <n v="344"/>
    <x v="1"/>
  </r>
  <r>
    <n v="1598"/>
    <s v="Paolo Soriano Del Rosario"/>
    <x v="0"/>
    <s v="Male"/>
    <n v="55"/>
    <x v="1"/>
    <x v="304"/>
    <x v="2"/>
    <x v="2"/>
    <x v="1"/>
    <n v="1726"/>
    <x v="0"/>
  </r>
  <r>
    <n v="1599"/>
    <s v="Ivan Aquino"/>
    <x v="0"/>
    <s v="Male"/>
    <n v="56"/>
    <x v="1"/>
    <x v="550"/>
    <x v="223"/>
    <x v="1"/>
    <x v="0"/>
    <n v="681"/>
    <x v="5"/>
  </r>
  <r>
    <n v="1600"/>
    <s v="Imelda Macapagal"/>
    <x v="4"/>
    <s v="Female"/>
    <n v="45"/>
    <x v="2"/>
    <x v="551"/>
    <x v="2"/>
    <x v="2"/>
    <x v="1"/>
    <n v="532"/>
    <x v="5"/>
  </r>
  <r>
    <n v="1601"/>
    <s v="Carmen Ang Wong"/>
    <x v="1"/>
    <s v="Female"/>
    <n v="40"/>
    <x v="2"/>
    <x v="552"/>
    <x v="2"/>
    <x v="2"/>
    <x v="1"/>
    <n v="210"/>
    <x v="1"/>
  </r>
  <r>
    <n v="1602"/>
    <s v="Hernando Cruz Gonzales"/>
    <x v="2"/>
    <s v="Male"/>
    <n v="40"/>
    <x v="2"/>
    <x v="553"/>
    <x v="2"/>
    <x v="2"/>
    <x v="1"/>
    <n v="2213"/>
    <x v="6"/>
  </r>
  <r>
    <n v="1603"/>
    <s v="Cameron Chan Diaz"/>
    <x v="5"/>
    <s v="Other"/>
    <n v="49"/>
    <x v="2"/>
    <x v="554"/>
    <x v="224"/>
    <x v="3"/>
    <x v="0"/>
    <n v="584"/>
    <x v="5"/>
  </r>
  <r>
    <n v="1604"/>
    <s v="Efren Delmendo"/>
    <x v="5"/>
    <s v="Male"/>
    <n v="41"/>
    <x v="2"/>
    <x v="555"/>
    <x v="2"/>
    <x v="2"/>
    <x v="1"/>
    <n v="2512"/>
    <x v="6"/>
  </r>
  <r>
    <n v="1605"/>
    <s v="Teresa Cruz Gonzales"/>
    <x v="1"/>
    <s v="Other"/>
    <n v="50"/>
    <x v="1"/>
    <x v="556"/>
    <x v="2"/>
    <x v="2"/>
    <x v="1"/>
    <n v="1511"/>
    <x v="0"/>
  </r>
  <r>
    <n v="1606"/>
    <s v="Eduardo Soriano Lopez"/>
    <x v="5"/>
    <s v="Male"/>
    <n v="26"/>
    <x v="3"/>
    <x v="87"/>
    <x v="2"/>
    <x v="2"/>
    <x v="1"/>
    <n v="1733"/>
    <x v="0"/>
  </r>
  <r>
    <n v="1607"/>
    <s v="Luisa Fernandez Enriquez"/>
    <x v="1"/>
    <s v="Other"/>
    <n v="60"/>
    <x v="4"/>
    <x v="557"/>
    <x v="225"/>
    <x v="6"/>
    <x v="0"/>
    <n v="676"/>
    <x v="5"/>
  </r>
  <r>
    <n v="1608"/>
    <s v="Hope Pascual Wong"/>
    <x v="1"/>
    <s v="Female"/>
    <n v="56"/>
    <x v="1"/>
    <x v="558"/>
    <x v="226"/>
    <x v="5"/>
    <x v="0"/>
    <n v="645"/>
    <x v="5"/>
  </r>
  <r>
    <n v="1609"/>
    <s v="Paz Reyes Manalo"/>
    <x v="0"/>
    <s v="Female"/>
    <n v="40"/>
    <x v="2"/>
    <x v="559"/>
    <x v="2"/>
    <x v="2"/>
    <x v="1"/>
    <n v="587"/>
    <x v="5"/>
  </r>
  <r>
    <n v="1610"/>
    <s v="Zeus Ong"/>
    <x v="0"/>
    <s v="Male"/>
    <n v="27"/>
    <x v="3"/>
    <x v="560"/>
    <x v="227"/>
    <x v="5"/>
    <x v="0"/>
    <n v="963"/>
    <x v="7"/>
  </r>
  <r>
    <n v="1611"/>
    <s v="Neil Ramos"/>
    <x v="5"/>
    <s v="Male"/>
    <n v="43"/>
    <x v="2"/>
    <x v="561"/>
    <x v="183"/>
    <x v="1"/>
    <x v="0"/>
    <n v="495"/>
    <x v="5"/>
  </r>
  <r>
    <n v="1612"/>
    <s v="Cardo Go Fernandez"/>
    <x v="5"/>
    <s v="Male"/>
    <n v="29"/>
    <x v="3"/>
    <x v="383"/>
    <x v="2"/>
    <x v="2"/>
    <x v="1"/>
    <n v="2718"/>
    <x v="3"/>
  </r>
  <r>
    <n v="1613"/>
    <s v="Danilo Reyes Dalisay"/>
    <x v="0"/>
    <s v="Other"/>
    <n v="30"/>
    <x v="0"/>
    <x v="501"/>
    <x v="228"/>
    <x v="5"/>
    <x v="0"/>
    <n v="276"/>
    <x v="1"/>
  </r>
  <r>
    <n v="1614"/>
    <s v="Diana Manalang"/>
    <x v="1"/>
    <s v="Female"/>
    <n v="51"/>
    <x v="1"/>
    <x v="562"/>
    <x v="2"/>
    <x v="2"/>
    <x v="1"/>
    <n v="1209"/>
    <x v="4"/>
  </r>
  <r>
    <n v="1615"/>
    <s v="Gloria Tan Sia"/>
    <x v="1"/>
    <s v="Female"/>
    <n v="27"/>
    <x v="3"/>
    <x v="563"/>
    <x v="2"/>
    <x v="2"/>
    <x v="1"/>
    <n v="1764"/>
    <x v="0"/>
  </r>
  <r>
    <n v="1616"/>
    <s v="Karen Santiago"/>
    <x v="0"/>
    <s v="Female"/>
    <n v="36"/>
    <x v="0"/>
    <x v="564"/>
    <x v="229"/>
    <x v="5"/>
    <x v="0"/>
    <n v="583"/>
    <x v="5"/>
  </r>
  <r>
    <n v="1617"/>
    <s v="Gloria Ocampo Hernandez"/>
    <x v="0"/>
    <s v="Other"/>
    <n v="48"/>
    <x v="2"/>
    <x v="565"/>
    <x v="2"/>
    <x v="2"/>
    <x v="1"/>
    <n v="775"/>
    <x v="7"/>
  </r>
  <r>
    <n v="1618"/>
    <s v="Carmen Uy Dalisay"/>
    <x v="5"/>
    <s v="Other"/>
    <n v="52"/>
    <x v="1"/>
    <x v="566"/>
    <x v="2"/>
    <x v="2"/>
    <x v="1"/>
    <n v="2630"/>
    <x v="3"/>
  </r>
  <r>
    <n v="1619"/>
    <s v="Casey Rivera"/>
    <x v="1"/>
    <s v="Other"/>
    <n v="51"/>
    <x v="1"/>
    <x v="567"/>
    <x v="230"/>
    <x v="6"/>
    <x v="0"/>
    <n v="478"/>
    <x v="5"/>
  </r>
  <r>
    <n v="1620"/>
    <s v="Luisa Uy Fajardo"/>
    <x v="2"/>
    <s v="Other"/>
    <n v="21"/>
    <x v="3"/>
    <x v="568"/>
    <x v="2"/>
    <x v="2"/>
    <x v="1"/>
    <n v="2498"/>
    <x v="6"/>
  </r>
  <r>
    <n v="1621"/>
    <s v="Manuel Lacson"/>
    <x v="1"/>
    <s v="Other"/>
    <n v="41"/>
    <x v="2"/>
    <x v="255"/>
    <x v="2"/>
    <x v="2"/>
    <x v="1"/>
    <n v="1871"/>
    <x v="2"/>
  </r>
  <r>
    <n v="1622"/>
    <s v="Pilar Vergara"/>
    <x v="3"/>
    <s v="Other"/>
    <n v="58"/>
    <x v="1"/>
    <x v="569"/>
    <x v="2"/>
    <x v="2"/>
    <x v="1"/>
    <n v="3065"/>
    <x v="8"/>
  </r>
  <r>
    <n v="1623"/>
    <s v="Diana Tan Bautista"/>
    <x v="2"/>
    <s v="Female"/>
    <n v="56"/>
    <x v="1"/>
    <x v="519"/>
    <x v="52"/>
    <x v="0"/>
    <x v="0"/>
    <n v="1561"/>
    <x v="0"/>
  </r>
  <r>
    <n v="1624"/>
    <s v="Ramon Ramos Delos Reyes"/>
    <x v="0"/>
    <s v="Other"/>
    <n v="46"/>
    <x v="2"/>
    <x v="418"/>
    <x v="2"/>
    <x v="2"/>
    <x v="1"/>
    <n v="1536"/>
    <x v="0"/>
  </r>
  <r>
    <n v="1625"/>
    <s v="Manuel Ang Bayani"/>
    <x v="1"/>
    <s v="Male"/>
    <n v="44"/>
    <x v="2"/>
    <x v="570"/>
    <x v="73"/>
    <x v="0"/>
    <x v="0"/>
    <n v="347"/>
    <x v="1"/>
  </r>
  <r>
    <n v="1626"/>
    <s v="Cristina Estrada"/>
    <x v="5"/>
    <s v="Other"/>
    <n v="29"/>
    <x v="3"/>
    <x v="571"/>
    <x v="231"/>
    <x v="3"/>
    <x v="0"/>
    <n v="1793"/>
    <x v="0"/>
  </r>
  <r>
    <n v="1627"/>
    <s v="Juan Mercado Macapagal"/>
    <x v="4"/>
    <s v="Male"/>
    <n v="49"/>
    <x v="2"/>
    <x v="572"/>
    <x v="232"/>
    <x v="5"/>
    <x v="0"/>
    <n v="470"/>
    <x v="5"/>
  </r>
  <r>
    <n v="1628"/>
    <s v="Patricia Garcia Gonzales"/>
    <x v="5"/>
    <s v="Female"/>
    <n v="55"/>
    <x v="1"/>
    <x v="573"/>
    <x v="233"/>
    <x v="8"/>
    <x v="0"/>
    <n v="128"/>
    <x v="1"/>
  </r>
  <r>
    <n v="1629"/>
    <s v="Teresa Chan Solis"/>
    <x v="1"/>
    <s v="Other"/>
    <n v="38"/>
    <x v="0"/>
    <x v="46"/>
    <x v="2"/>
    <x v="2"/>
    <x v="1"/>
    <n v="1194"/>
    <x v="4"/>
  </r>
  <r>
    <n v="1630"/>
    <s v="Willy Yap"/>
    <x v="0"/>
    <s v="Male"/>
    <n v="25"/>
    <x v="3"/>
    <x v="574"/>
    <x v="2"/>
    <x v="2"/>
    <x v="1"/>
    <n v="297"/>
    <x v="1"/>
  </r>
  <r>
    <n v="1631"/>
    <s v="Eddie Macapagal"/>
    <x v="3"/>
    <s v="Male"/>
    <n v="21"/>
    <x v="3"/>
    <x v="575"/>
    <x v="2"/>
    <x v="2"/>
    <x v="1"/>
    <n v="1178"/>
    <x v="4"/>
  </r>
  <r>
    <n v="1632"/>
    <s v="Manuel Dela Torre"/>
    <x v="4"/>
    <s v="Other"/>
    <n v="39"/>
    <x v="0"/>
    <x v="576"/>
    <x v="234"/>
    <x v="4"/>
    <x v="0"/>
    <n v="1513"/>
    <x v="0"/>
  </r>
  <r>
    <n v="1633"/>
    <s v="Aldrin San Pedro"/>
    <x v="4"/>
    <s v="Male"/>
    <n v="58"/>
    <x v="1"/>
    <x v="375"/>
    <x v="2"/>
    <x v="2"/>
    <x v="1"/>
    <n v="2406"/>
    <x v="6"/>
  </r>
  <r>
    <n v="1634"/>
    <s v="Celine Aguilar Go"/>
    <x v="4"/>
    <s v="Female"/>
    <n v="53"/>
    <x v="1"/>
    <x v="577"/>
    <x v="2"/>
    <x v="2"/>
    <x v="1"/>
    <n v="2784"/>
    <x v="3"/>
  </r>
  <r>
    <n v="1635"/>
    <s v="Patricia Mercado Soriano"/>
    <x v="4"/>
    <s v="Female"/>
    <n v="28"/>
    <x v="3"/>
    <x v="578"/>
    <x v="235"/>
    <x v="7"/>
    <x v="0"/>
    <n v="244"/>
    <x v="1"/>
  </r>
  <r>
    <n v="1636"/>
    <s v="Cameron Perez"/>
    <x v="0"/>
    <s v="Other"/>
    <n v="23"/>
    <x v="3"/>
    <x v="579"/>
    <x v="2"/>
    <x v="2"/>
    <x v="1"/>
    <n v="1694"/>
    <x v="0"/>
  </r>
  <r>
    <n v="1637"/>
    <s v="Gregorio Vega Santiago"/>
    <x v="1"/>
    <s v="Male"/>
    <n v="47"/>
    <x v="2"/>
    <x v="580"/>
    <x v="236"/>
    <x v="1"/>
    <x v="0"/>
    <n v="991"/>
    <x v="7"/>
  </r>
  <r>
    <n v="1638"/>
    <s v="Gina Del Rosario"/>
    <x v="1"/>
    <s v="Female"/>
    <n v="28"/>
    <x v="3"/>
    <x v="581"/>
    <x v="237"/>
    <x v="5"/>
    <x v="0"/>
    <n v="1723"/>
    <x v="0"/>
  </r>
  <r>
    <n v="1639"/>
    <s v="Daisy Panganiban"/>
    <x v="3"/>
    <s v="Female"/>
    <n v="45"/>
    <x v="2"/>
    <x v="582"/>
    <x v="238"/>
    <x v="0"/>
    <x v="0"/>
    <n v="980"/>
    <x v="7"/>
  </r>
  <r>
    <n v="1640"/>
    <s v="Efren Lacson"/>
    <x v="3"/>
    <s v="Other"/>
    <n v="23"/>
    <x v="3"/>
    <x v="583"/>
    <x v="2"/>
    <x v="2"/>
    <x v="1"/>
    <n v="2700"/>
    <x v="3"/>
  </r>
  <r>
    <n v="1641"/>
    <s v="Violeta Go Corpuz"/>
    <x v="5"/>
    <s v="Female"/>
    <n v="38"/>
    <x v="0"/>
    <x v="584"/>
    <x v="2"/>
    <x v="2"/>
    <x v="1"/>
    <n v="2005"/>
    <x v="2"/>
  </r>
  <r>
    <n v="1642"/>
    <s v="Jose Santos Macaraeg"/>
    <x v="5"/>
    <s v="Other"/>
    <n v="58"/>
    <x v="1"/>
    <x v="585"/>
    <x v="2"/>
    <x v="2"/>
    <x v="1"/>
    <n v="2300"/>
    <x v="6"/>
  </r>
  <r>
    <n v="1643"/>
    <s v="Diana Reyes Go"/>
    <x v="2"/>
    <s v="Female"/>
    <n v="27"/>
    <x v="3"/>
    <x v="586"/>
    <x v="234"/>
    <x v="5"/>
    <x v="0"/>
    <n v="546"/>
    <x v="5"/>
  </r>
  <r>
    <n v="1644"/>
    <s v="Annaliza Dela Cruz"/>
    <x v="0"/>
    <s v="Female"/>
    <n v="34"/>
    <x v="0"/>
    <x v="587"/>
    <x v="2"/>
    <x v="2"/>
    <x v="1"/>
    <n v="643"/>
    <x v="5"/>
  </r>
  <r>
    <n v="1645"/>
    <s v="Ismael Ocampo Go"/>
    <x v="1"/>
    <s v="Male"/>
    <n v="57"/>
    <x v="1"/>
    <x v="588"/>
    <x v="2"/>
    <x v="2"/>
    <x v="1"/>
    <n v="2342"/>
    <x v="6"/>
  </r>
  <r>
    <n v="1646"/>
    <s v="Rodel Ocampo Go"/>
    <x v="0"/>
    <s v="Other"/>
    <n v="38"/>
    <x v="0"/>
    <x v="130"/>
    <x v="2"/>
    <x v="2"/>
    <x v="1"/>
    <n v="1350"/>
    <x v="4"/>
  </r>
  <r>
    <n v="1647"/>
    <s v="Abigail Ocampo Chan"/>
    <x v="4"/>
    <s v="Female"/>
    <n v="45"/>
    <x v="2"/>
    <x v="589"/>
    <x v="2"/>
    <x v="2"/>
    <x v="1"/>
    <n v="1736"/>
    <x v="0"/>
  </r>
  <r>
    <n v="1648"/>
    <s v="Taylor Sy Mercado"/>
    <x v="0"/>
    <s v="Other"/>
    <n v="46"/>
    <x v="2"/>
    <x v="590"/>
    <x v="2"/>
    <x v="2"/>
    <x v="1"/>
    <n v="2368"/>
    <x v="6"/>
  </r>
  <r>
    <n v="1649"/>
    <s v="Severino Ang Natividad"/>
    <x v="1"/>
    <s v="Male"/>
    <n v="49"/>
    <x v="2"/>
    <x v="591"/>
    <x v="239"/>
    <x v="0"/>
    <x v="0"/>
    <n v="239"/>
    <x v="1"/>
  </r>
  <r>
    <n v="1650"/>
    <s v="Ernesto Tan Jimenez"/>
    <x v="1"/>
    <s v="Male"/>
    <n v="23"/>
    <x v="3"/>
    <x v="592"/>
    <x v="2"/>
    <x v="2"/>
    <x v="1"/>
    <n v="376"/>
    <x v="5"/>
  </r>
  <r>
    <n v="1651"/>
    <s v="Carlos Rivera Guerrero"/>
    <x v="0"/>
    <s v="Male"/>
    <n v="52"/>
    <x v="1"/>
    <x v="593"/>
    <x v="2"/>
    <x v="2"/>
    <x v="1"/>
    <n v="1140"/>
    <x v="4"/>
  </r>
  <r>
    <n v="1652"/>
    <s v="Efren Mangubat"/>
    <x v="3"/>
    <s v="Other"/>
    <n v="51"/>
    <x v="1"/>
    <x v="594"/>
    <x v="2"/>
    <x v="2"/>
    <x v="1"/>
    <n v="2602"/>
    <x v="3"/>
  </r>
  <r>
    <n v="1653"/>
    <s v="Gerald Ramos"/>
    <x v="4"/>
    <s v="Male"/>
    <n v="26"/>
    <x v="3"/>
    <x v="595"/>
    <x v="2"/>
    <x v="2"/>
    <x v="1"/>
    <n v="1602"/>
    <x v="0"/>
  </r>
  <r>
    <n v="1654"/>
    <s v="Sarah Rivera Delos Reyes"/>
    <x v="5"/>
    <s v="Female"/>
    <n v="33"/>
    <x v="0"/>
    <x v="596"/>
    <x v="2"/>
    <x v="2"/>
    <x v="1"/>
    <n v="2375"/>
    <x v="6"/>
  </r>
  <r>
    <n v="1655"/>
    <s v="Jaime Reyes Ramirez"/>
    <x v="2"/>
    <s v="Male"/>
    <n v="43"/>
    <x v="2"/>
    <x v="597"/>
    <x v="240"/>
    <x v="5"/>
    <x v="0"/>
    <n v="737"/>
    <x v="7"/>
  </r>
  <r>
    <n v="1656"/>
    <s v="Ian Fajardo"/>
    <x v="5"/>
    <s v="Male"/>
    <n v="52"/>
    <x v="1"/>
    <x v="598"/>
    <x v="241"/>
    <x v="7"/>
    <x v="0"/>
    <n v="1197"/>
    <x v="4"/>
  </r>
  <r>
    <n v="1657"/>
    <s v="Jamie Go Vergara"/>
    <x v="2"/>
    <s v="Other"/>
    <n v="22"/>
    <x v="3"/>
    <x v="599"/>
    <x v="242"/>
    <x v="3"/>
    <x v="0"/>
    <n v="1473"/>
    <x v="0"/>
  </r>
  <r>
    <n v="1658"/>
    <s v="Antonio Fernandez Villanueva"/>
    <x v="3"/>
    <s v="Other"/>
    <n v="55"/>
    <x v="1"/>
    <x v="600"/>
    <x v="2"/>
    <x v="2"/>
    <x v="1"/>
    <n v="2488"/>
    <x v="6"/>
  </r>
  <r>
    <n v="1659"/>
    <s v="Belinda Bautista Reyes"/>
    <x v="0"/>
    <s v="Female"/>
    <n v="23"/>
    <x v="3"/>
    <x v="601"/>
    <x v="2"/>
    <x v="2"/>
    <x v="1"/>
    <n v="2104"/>
    <x v="2"/>
  </r>
  <r>
    <n v="1660"/>
    <s v="Lourdes Aquino"/>
    <x v="3"/>
    <s v="Other"/>
    <n v="27"/>
    <x v="3"/>
    <x v="602"/>
    <x v="2"/>
    <x v="2"/>
    <x v="1"/>
    <n v="1230"/>
    <x v="4"/>
  </r>
  <r>
    <n v="1661"/>
    <s v="Samuel Buenaventura"/>
    <x v="1"/>
    <s v="Male"/>
    <n v="35"/>
    <x v="0"/>
    <x v="603"/>
    <x v="2"/>
    <x v="2"/>
    <x v="1"/>
    <n v="2840"/>
    <x v="3"/>
  </r>
  <r>
    <n v="1662"/>
    <s v="Vince Flores Guerrero"/>
    <x v="3"/>
    <s v="Male"/>
    <n v="41"/>
    <x v="2"/>
    <x v="315"/>
    <x v="2"/>
    <x v="2"/>
    <x v="1"/>
    <n v="2604"/>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36"/>
    <x v="2"/>
  </r>
  <r>
    <n v="1666"/>
    <s v="Antonio Ang Perez"/>
    <x v="0"/>
    <s v="Male"/>
    <n v="47"/>
    <x v="2"/>
    <x v="605"/>
    <x v="2"/>
    <x v="2"/>
    <x v="1"/>
    <n v="2119"/>
    <x v="2"/>
  </r>
  <r>
    <n v="1667"/>
    <s v="Sue Mendoza Sy"/>
    <x v="0"/>
    <s v="Female"/>
    <n v="40"/>
    <x v="2"/>
    <x v="606"/>
    <x v="2"/>
    <x v="2"/>
    <x v="1"/>
    <n v="1674"/>
    <x v="0"/>
  </r>
  <r>
    <n v="1668"/>
    <s v="Ramon Torres Ang"/>
    <x v="0"/>
    <s v="Other"/>
    <n v="55"/>
    <x v="1"/>
    <x v="607"/>
    <x v="245"/>
    <x v="7"/>
    <x v="0"/>
    <n v="878"/>
    <x v="7"/>
  </r>
  <r>
    <n v="1669"/>
    <s v="Riley Flores Bayani"/>
    <x v="2"/>
    <s v="Other"/>
    <n v="51"/>
    <x v="1"/>
    <x v="608"/>
    <x v="246"/>
    <x v="4"/>
    <x v="0"/>
    <n v="776"/>
    <x v="7"/>
  </r>
  <r>
    <n v="1670"/>
    <s v="Hernando Aguilar"/>
    <x v="4"/>
    <s v="Male"/>
    <n v="50"/>
    <x v="1"/>
    <x v="609"/>
    <x v="247"/>
    <x v="4"/>
    <x v="0"/>
    <n v="304"/>
    <x v="1"/>
  </r>
  <r>
    <n v="1671"/>
    <s v="Iris Navarro Camacho"/>
    <x v="0"/>
    <s v="Female"/>
    <n v="36"/>
    <x v="0"/>
    <x v="610"/>
    <x v="2"/>
    <x v="2"/>
    <x v="1"/>
    <n v="1277"/>
    <x v="4"/>
  </r>
  <r>
    <n v="1672"/>
    <s v="Rachel Ang Tan"/>
    <x v="1"/>
    <s v="Female"/>
    <n v="35"/>
    <x v="0"/>
    <x v="23"/>
    <x v="248"/>
    <x v="3"/>
    <x v="0"/>
    <n v="1779"/>
    <x v="0"/>
  </r>
  <r>
    <n v="1673"/>
    <s v="Michael Castro Ignacio"/>
    <x v="1"/>
    <s v="Male"/>
    <n v="34"/>
    <x v="0"/>
    <x v="611"/>
    <x v="2"/>
    <x v="2"/>
    <x v="1"/>
    <n v="602"/>
    <x v="5"/>
  </r>
  <r>
    <n v="1674"/>
    <s v="Fernando Go Ramirez"/>
    <x v="0"/>
    <s v="Other"/>
    <n v="33"/>
    <x v="0"/>
    <x v="612"/>
    <x v="249"/>
    <x v="8"/>
    <x v="0"/>
    <n v="1507"/>
    <x v="0"/>
  </r>
  <r>
    <n v="1675"/>
    <s v="Herminia Zulueta"/>
    <x v="4"/>
    <s v="Female"/>
    <n v="42"/>
    <x v="2"/>
    <x v="613"/>
    <x v="2"/>
    <x v="2"/>
    <x v="1"/>
    <n v="2198"/>
    <x v="6"/>
  </r>
  <r>
    <n v="1676"/>
    <s v="Marcelo Go Ong"/>
    <x v="3"/>
    <s v="Male"/>
    <n v="56"/>
    <x v="1"/>
    <x v="614"/>
    <x v="250"/>
    <x v="3"/>
    <x v="0"/>
    <n v="2093"/>
    <x v="2"/>
  </r>
  <r>
    <n v="1677"/>
    <s v="Maricel Cruz Santos"/>
    <x v="4"/>
    <s v="Other"/>
    <n v="54"/>
    <x v="1"/>
    <x v="18"/>
    <x v="251"/>
    <x v="6"/>
    <x v="0"/>
    <n v="1276"/>
    <x v="4"/>
  </r>
  <r>
    <n v="1678"/>
    <s v="Nathan Umali"/>
    <x v="1"/>
    <s v="Male"/>
    <n v="53"/>
    <x v="1"/>
    <x v="615"/>
    <x v="2"/>
    <x v="2"/>
    <x v="1"/>
    <n v="2961"/>
    <x v="8"/>
  </r>
  <r>
    <n v="1679"/>
    <s v="Wendy Pascual Rivera"/>
    <x v="5"/>
    <s v="Female"/>
    <n v="52"/>
    <x v="1"/>
    <x v="165"/>
    <x v="252"/>
    <x v="0"/>
    <x v="0"/>
    <n v="1632"/>
    <x v="0"/>
  </r>
  <r>
    <n v="1680"/>
    <s v="Juan Reyes Lazo"/>
    <x v="1"/>
    <s v="Other"/>
    <n v="22"/>
    <x v="3"/>
    <x v="616"/>
    <x v="2"/>
    <x v="2"/>
    <x v="1"/>
    <n v="1133"/>
    <x v="4"/>
  </r>
  <r>
    <n v="1681"/>
    <s v="Kevin Santos Valencia"/>
    <x v="3"/>
    <s v="Male"/>
    <n v="29"/>
    <x v="3"/>
    <x v="617"/>
    <x v="2"/>
    <x v="2"/>
    <x v="1"/>
    <n v="218"/>
    <x v="1"/>
  </r>
  <r>
    <n v="1682"/>
    <s v="Paz Macapagal"/>
    <x v="2"/>
    <s v="Female"/>
    <n v="42"/>
    <x v="2"/>
    <x v="618"/>
    <x v="253"/>
    <x v="1"/>
    <x v="0"/>
    <n v="526"/>
    <x v="5"/>
  </r>
  <r>
    <n v="1683"/>
    <s v="Nina Santiago Mendoza"/>
    <x v="2"/>
    <s v="Female"/>
    <n v="42"/>
    <x v="2"/>
    <x v="619"/>
    <x v="2"/>
    <x v="2"/>
    <x v="1"/>
    <n v="2874"/>
    <x v="3"/>
  </r>
  <r>
    <n v="1684"/>
    <s v="Teresa Jacinto"/>
    <x v="0"/>
    <s v="Female"/>
    <n v="44"/>
    <x v="2"/>
    <x v="452"/>
    <x v="2"/>
    <x v="2"/>
    <x v="1"/>
    <n v="2381"/>
    <x v="6"/>
  </r>
  <r>
    <n v="1685"/>
    <s v="Lourdes Ramirez Jimenez"/>
    <x v="1"/>
    <s v="Other"/>
    <n v="36"/>
    <x v="0"/>
    <x v="620"/>
    <x v="241"/>
    <x v="1"/>
    <x v="0"/>
    <n v="579"/>
    <x v="5"/>
  </r>
  <r>
    <n v="1686"/>
    <s v="Riley Uy Aquino"/>
    <x v="4"/>
    <s v="Other"/>
    <n v="53"/>
    <x v="1"/>
    <x v="12"/>
    <x v="2"/>
    <x v="2"/>
    <x v="1"/>
    <n v="312"/>
    <x v="1"/>
  </r>
  <r>
    <n v="1687"/>
    <s v="Neil Santiago Chua"/>
    <x v="0"/>
    <s v="Male"/>
    <n v="28"/>
    <x v="3"/>
    <x v="621"/>
    <x v="2"/>
    <x v="2"/>
    <x v="1"/>
    <n v="1173"/>
    <x v="4"/>
  </r>
  <r>
    <n v="1688"/>
    <s v="Carmen Gonzales Dela Cruz"/>
    <x v="2"/>
    <s v="Other"/>
    <n v="25"/>
    <x v="3"/>
    <x v="326"/>
    <x v="2"/>
    <x v="2"/>
    <x v="1"/>
    <n v="2327"/>
    <x v="6"/>
  </r>
  <r>
    <n v="1689"/>
    <s v="Ramon Delmendo"/>
    <x v="4"/>
    <s v="Other"/>
    <n v="27"/>
    <x v="3"/>
    <x v="24"/>
    <x v="254"/>
    <x v="8"/>
    <x v="0"/>
    <n v="696"/>
    <x v="5"/>
  </r>
  <r>
    <n v="1690"/>
    <s v="Rafael Manalo"/>
    <x v="1"/>
    <s v="Male"/>
    <n v="55"/>
    <x v="1"/>
    <x v="622"/>
    <x v="2"/>
    <x v="2"/>
    <x v="1"/>
    <n v="2558"/>
    <x v="3"/>
  </r>
  <r>
    <n v="1691"/>
    <s v="Mae Diaz Bayani"/>
    <x v="1"/>
    <s v="Female"/>
    <n v="22"/>
    <x v="3"/>
    <x v="623"/>
    <x v="2"/>
    <x v="2"/>
    <x v="1"/>
    <n v="2147"/>
    <x v="2"/>
  </r>
  <r>
    <n v="1692"/>
    <s v="Teresa Soriano Hilario"/>
    <x v="5"/>
    <s v="Other"/>
    <n v="52"/>
    <x v="1"/>
    <x v="624"/>
    <x v="2"/>
    <x v="2"/>
    <x v="1"/>
    <n v="668"/>
    <x v="5"/>
  </r>
  <r>
    <n v="1693"/>
    <s v="Antonio Pascual Umali"/>
    <x v="0"/>
    <s v="Other"/>
    <n v="40"/>
    <x v="2"/>
    <x v="142"/>
    <x v="2"/>
    <x v="2"/>
    <x v="1"/>
    <n v="2395"/>
    <x v="6"/>
  </r>
  <r>
    <n v="1694"/>
    <s v="Imelda Trinidad"/>
    <x v="5"/>
    <s v="Female"/>
    <n v="43"/>
    <x v="2"/>
    <x v="625"/>
    <x v="2"/>
    <x v="2"/>
    <x v="1"/>
    <n v="1934"/>
    <x v="2"/>
  </r>
  <r>
    <n v="1695"/>
    <s v="Florinda Cruz Aguilar"/>
    <x v="5"/>
    <s v="Female"/>
    <n v="32"/>
    <x v="0"/>
    <x v="365"/>
    <x v="2"/>
    <x v="2"/>
    <x v="1"/>
    <n v="198"/>
    <x v="1"/>
  </r>
  <r>
    <n v="1696"/>
    <s v="Antonio Vega Enriquez"/>
    <x v="3"/>
    <s v="Male"/>
    <n v="49"/>
    <x v="2"/>
    <x v="626"/>
    <x v="255"/>
    <x v="8"/>
    <x v="0"/>
    <n v="510"/>
    <x v="5"/>
  </r>
  <r>
    <n v="1697"/>
    <s v="Ian Mercado"/>
    <x v="1"/>
    <s v="Male"/>
    <n v="31"/>
    <x v="0"/>
    <x v="627"/>
    <x v="256"/>
    <x v="5"/>
    <x v="0"/>
    <n v="115"/>
    <x v="1"/>
  </r>
  <r>
    <n v="1698"/>
    <s v="Erlinda Lozano"/>
    <x v="3"/>
    <s v="Female"/>
    <n v="59"/>
    <x v="1"/>
    <x v="607"/>
    <x v="257"/>
    <x v="6"/>
    <x v="0"/>
    <n v="812"/>
    <x v="7"/>
  </r>
  <r>
    <n v="1699"/>
    <s v="Crisanto Soriano Figueroa"/>
    <x v="3"/>
    <s v="Male"/>
    <n v="28"/>
    <x v="3"/>
    <x v="234"/>
    <x v="2"/>
    <x v="2"/>
    <x v="1"/>
    <n v="1137"/>
    <x v="4"/>
  </r>
  <r>
    <n v="1700"/>
    <s v="Jaime Aguilar Narvasa"/>
    <x v="1"/>
    <s v="Male"/>
    <n v="35"/>
    <x v="0"/>
    <x v="173"/>
    <x v="258"/>
    <x v="0"/>
    <x v="0"/>
    <n v="758"/>
    <x v="7"/>
  </r>
  <r>
    <n v="1701"/>
    <s v="Maricel Ang Cueto"/>
    <x v="1"/>
    <s v="Female"/>
    <n v="49"/>
    <x v="2"/>
    <x v="628"/>
    <x v="2"/>
    <x v="2"/>
    <x v="1"/>
    <n v="325"/>
    <x v="1"/>
  </r>
  <r>
    <n v="1702"/>
    <s v="Samuel Santos Ignacio"/>
    <x v="4"/>
    <s v="Male"/>
    <n v="24"/>
    <x v="3"/>
    <x v="629"/>
    <x v="259"/>
    <x v="1"/>
    <x v="0"/>
    <n v="165"/>
    <x v="1"/>
  </r>
  <r>
    <n v="1703"/>
    <s v="Rafael Sy Manalo"/>
    <x v="4"/>
    <s v="Male"/>
    <n v="49"/>
    <x v="2"/>
    <x v="630"/>
    <x v="260"/>
    <x v="1"/>
    <x v="0"/>
    <n v="544"/>
    <x v="5"/>
  </r>
  <r>
    <n v="1704"/>
    <s v="Carlos Ong"/>
    <x v="5"/>
    <s v="Male"/>
    <n v="60"/>
    <x v="4"/>
    <x v="631"/>
    <x v="261"/>
    <x v="6"/>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0"/>
    <x v="3"/>
  </r>
  <r>
    <n v="1708"/>
    <s v="Ronaldo Sy Narvasa"/>
    <x v="1"/>
    <s v="Other"/>
    <n v="52"/>
    <x v="1"/>
    <x v="635"/>
    <x v="2"/>
    <x v="2"/>
    <x v="1"/>
    <n v="2825"/>
    <x v="3"/>
  </r>
  <r>
    <n v="1709"/>
    <s v="Kevin Cueto"/>
    <x v="2"/>
    <s v="Male"/>
    <n v="51"/>
    <x v="1"/>
    <x v="636"/>
    <x v="2"/>
    <x v="2"/>
    <x v="1"/>
    <n v="255"/>
    <x v="1"/>
  </r>
  <r>
    <n v="1710"/>
    <s v="Corazon Aguilar Crisostomo"/>
    <x v="1"/>
    <s v="Female"/>
    <n v="58"/>
    <x v="1"/>
    <x v="637"/>
    <x v="264"/>
    <x v="3"/>
    <x v="0"/>
    <n v="1978"/>
    <x v="2"/>
  </r>
  <r>
    <n v="1711"/>
    <s v="Ismael Lopez Fernandez"/>
    <x v="4"/>
    <s v="Male"/>
    <n v="43"/>
    <x v="2"/>
    <x v="638"/>
    <x v="265"/>
    <x v="8"/>
    <x v="0"/>
    <n v="404"/>
    <x v="5"/>
  </r>
  <r>
    <n v="1712"/>
    <s v="Ronaldo Vega Fernandez"/>
    <x v="0"/>
    <s v="Other"/>
    <n v="40"/>
    <x v="2"/>
    <x v="308"/>
    <x v="2"/>
    <x v="2"/>
    <x v="1"/>
    <n v="1987"/>
    <x v="2"/>
  </r>
  <r>
    <n v="1713"/>
    <s v="Herminia Ramirez Lopez"/>
    <x v="2"/>
    <s v="Female"/>
    <n v="54"/>
    <x v="1"/>
    <x v="639"/>
    <x v="266"/>
    <x v="5"/>
    <x v="0"/>
    <n v="1083"/>
    <x v="7"/>
  </r>
  <r>
    <n v="1714"/>
    <s v="Teresa Fajardo"/>
    <x v="2"/>
    <s v="Other"/>
    <n v="56"/>
    <x v="1"/>
    <x v="640"/>
    <x v="2"/>
    <x v="2"/>
    <x v="1"/>
    <n v="586"/>
    <x v="5"/>
  </r>
  <r>
    <n v="1715"/>
    <s v="Morgan Flores"/>
    <x v="5"/>
    <s v="Other"/>
    <n v="47"/>
    <x v="2"/>
    <x v="225"/>
    <x v="2"/>
    <x v="2"/>
    <x v="1"/>
    <n v="1212"/>
    <x v="4"/>
  </r>
  <r>
    <n v="1716"/>
    <s v="Mae Soriano Buenaventura"/>
    <x v="0"/>
    <s v="Female"/>
    <n v="44"/>
    <x v="2"/>
    <x v="641"/>
    <x v="2"/>
    <x v="2"/>
    <x v="1"/>
    <n v="2529"/>
    <x v="6"/>
  </r>
  <r>
    <n v="1717"/>
    <s v="Cameron Ramos Hernandez"/>
    <x v="1"/>
    <s v="Other"/>
    <n v="35"/>
    <x v="0"/>
    <x v="319"/>
    <x v="2"/>
    <x v="2"/>
    <x v="1"/>
    <n v="2571"/>
    <x v="3"/>
  </r>
  <r>
    <n v="1718"/>
    <s v="Morgan Chan Villanueva"/>
    <x v="1"/>
    <s v="Other"/>
    <n v="48"/>
    <x v="2"/>
    <x v="642"/>
    <x v="2"/>
    <x v="2"/>
    <x v="1"/>
    <n v="269"/>
    <x v="1"/>
  </r>
  <r>
    <n v="1719"/>
    <s v="Lea Torres Ong"/>
    <x v="5"/>
    <s v="Female"/>
    <n v="27"/>
    <x v="3"/>
    <x v="643"/>
    <x v="2"/>
    <x v="2"/>
    <x v="1"/>
    <n v="2964"/>
    <x v="8"/>
  </r>
  <r>
    <n v="1720"/>
    <s v="Natividad Ong"/>
    <x v="3"/>
    <s v="Female"/>
    <n v="40"/>
    <x v="2"/>
    <x v="644"/>
    <x v="267"/>
    <x v="3"/>
    <x v="0"/>
    <n v="139"/>
    <x v="1"/>
  </r>
  <r>
    <n v="1721"/>
    <s v="Vicente Lopez Narvasa"/>
    <x v="1"/>
    <s v="Male"/>
    <n v="26"/>
    <x v="3"/>
    <x v="645"/>
    <x v="2"/>
    <x v="2"/>
    <x v="1"/>
    <n v="2502"/>
    <x v="6"/>
  </r>
  <r>
    <n v="1722"/>
    <s v="Taylor Narvasa"/>
    <x v="2"/>
    <s v="Other"/>
    <n v="36"/>
    <x v="0"/>
    <x v="646"/>
    <x v="2"/>
    <x v="2"/>
    <x v="1"/>
    <n v="1030"/>
    <x v="7"/>
  </r>
  <r>
    <n v="1723"/>
    <s v="Gloria Santos"/>
    <x v="0"/>
    <s v="Other"/>
    <n v="39"/>
    <x v="0"/>
    <x v="142"/>
    <x v="2"/>
    <x v="2"/>
    <x v="1"/>
    <n v="2395"/>
    <x v="6"/>
  </r>
  <r>
    <n v="1724"/>
    <s v="Kristina Manalo"/>
    <x v="1"/>
    <s v="Female"/>
    <n v="53"/>
    <x v="1"/>
    <x v="647"/>
    <x v="2"/>
    <x v="2"/>
    <x v="1"/>
    <n v="200"/>
    <x v="1"/>
  </r>
  <r>
    <n v="1725"/>
    <s v="Rodel Ramos Castro"/>
    <x v="1"/>
    <s v="Other"/>
    <n v="45"/>
    <x v="2"/>
    <x v="648"/>
    <x v="268"/>
    <x v="5"/>
    <x v="0"/>
    <n v="556"/>
    <x v="5"/>
  </r>
  <r>
    <n v="1726"/>
    <s v="Rodel Rivera Dalisay"/>
    <x v="0"/>
    <s v="Male"/>
    <n v="39"/>
    <x v="0"/>
    <x v="649"/>
    <x v="2"/>
    <x v="2"/>
    <x v="1"/>
    <n v="816"/>
    <x v="7"/>
  </r>
  <r>
    <n v="1727"/>
    <s v="Victor Pascual Tan"/>
    <x v="4"/>
    <s v="Male"/>
    <n v="40"/>
    <x v="2"/>
    <x v="650"/>
    <x v="2"/>
    <x v="2"/>
    <x v="1"/>
    <n v="284"/>
    <x v="1"/>
  </r>
  <r>
    <n v="1728"/>
    <s v="Kevin Ang Soriano"/>
    <x v="3"/>
    <s v="Male"/>
    <n v="25"/>
    <x v="3"/>
    <x v="651"/>
    <x v="2"/>
    <x v="2"/>
    <x v="1"/>
    <n v="1150"/>
    <x v="4"/>
  </r>
  <r>
    <n v="1729"/>
    <s v="Joselito Mendoza Mercado"/>
    <x v="5"/>
    <s v="Male"/>
    <n v="54"/>
    <x v="1"/>
    <x v="261"/>
    <x v="2"/>
    <x v="2"/>
    <x v="1"/>
    <n v="401"/>
    <x v="5"/>
  </r>
  <r>
    <n v="1730"/>
    <s v="Morgan Lim"/>
    <x v="5"/>
    <s v="Other"/>
    <n v="62"/>
    <x v="4"/>
    <x v="652"/>
    <x v="269"/>
    <x v="6"/>
    <x v="0"/>
    <n v="905"/>
    <x v="7"/>
  </r>
  <r>
    <n v="1731"/>
    <s v="Vanessa Fernandez Viray"/>
    <x v="5"/>
    <s v="Female"/>
    <n v="58"/>
    <x v="1"/>
    <x v="653"/>
    <x v="270"/>
    <x v="5"/>
    <x v="0"/>
    <n v="499"/>
    <x v="5"/>
  </r>
  <r>
    <n v="1732"/>
    <s v="Corazon Bautista Bautista"/>
    <x v="5"/>
    <s v="Female"/>
    <n v="37"/>
    <x v="0"/>
    <x v="654"/>
    <x v="2"/>
    <x v="2"/>
    <x v="1"/>
    <n v="1094"/>
    <x v="7"/>
  </r>
  <r>
    <n v="1733"/>
    <s v="Elmer Mendoza Domingo"/>
    <x v="2"/>
    <s v="Male"/>
    <n v="22"/>
    <x v="3"/>
    <x v="655"/>
    <x v="2"/>
    <x v="2"/>
    <x v="1"/>
    <n v="2365"/>
    <x v="6"/>
  </r>
  <r>
    <n v="1734"/>
    <s v="Kristoffer Chua"/>
    <x v="5"/>
    <s v="Male"/>
    <n v="54"/>
    <x v="1"/>
    <x v="656"/>
    <x v="2"/>
    <x v="2"/>
    <x v="1"/>
    <n v="1082"/>
    <x v="7"/>
  </r>
  <r>
    <n v="1735"/>
    <s v="Carmen Lacson"/>
    <x v="0"/>
    <s v="Female"/>
    <n v="42"/>
    <x v="2"/>
    <x v="657"/>
    <x v="2"/>
    <x v="2"/>
    <x v="1"/>
    <n v="884"/>
    <x v="7"/>
  </r>
  <r>
    <n v="1736"/>
    <s v="Antonio Soriano Soriano"/>
    <x v="1"/>
    <s v="Male"/>
    <n v="45"/>
    <x v="2"/>
    <x v="658"/>
    <x v="2"/>
    <x v="2"/>
    <x v="1"/>
    <n v="1286"/>
    <x v="4"/>
  </r>
  <r>
    <n v="1737"/>
    <s v="Josephine Lozano"/>
    <x v="2"/>
    <s v="Female"/>
    <n v="48"/>
    <x v="2"/>
    <x v="659"/>
    <x v="271"/>
    <x v="8"/>
    <x v="0"/>
    <n v="1683"/>
    <x v="0"/>
  </r>
  <r>
    <n v="1738"/>
    <s v="Juan Domingo Bagtas"/>
    <x v="5"/>
    <s v="Other"/>
    <n v="57"/>
    <x v="1"/>
    <x v="660"/>
    <x v="2"/>
    <x v="2"/>
    <x v="1"/>
    <n v="1174"/>
    <x v="4"/>
  </r>
  <r>
    <n v="1739"/>
    <s v="Avery Reyes Evangelista"/>
    <x v="0"/>
    <s v="Other"/>
    <n v="43"/>
    <x v="2"/>
    <x v="661"/>
    <x v="272"/>
    <x v="7"/>
    <x v="0"/>
    <n v="147"/>
    <x v="1"/>
  </r>
  <r>
    <n v="1740"/>
    <s v="Ivan Mercado Bondoc"/>
    <x v="5"/>
    <s v="Male"/>
    <n v="45"/>
    <x v="2"/>
    <x v="583"/>
    <x v="2"/>
    <x v="2"/>
    <x v="1"/>
    <n v="2700"/>
    <x v="3"/>
  </r>
  <r>
    <n v="1741"/>
    <s v="Carlos Lopez Yap"/>
    <x v="4"/>
    <s v="Male"/>
    <n v="58"/>
    <x v="1"/>
    <x v="662"/>
    <x v="2"/>
    <x v="2"/>
    <x v="1"/>
    <n v="2751"/>
    <x v="3"/>
  </r>
  <r>
    <n v="1742"/>
    <s v="Sonny Cueto"/>
    <x v="1"/>
    <s v="Male"/>
    <n v="50"/>
    <x v="1"/>
    <x v="663"/>
    <x v="2"/>
    <x v="2"/>
    <x v="1"/>
    <n v="404"/>
    <x v="5"/>
  </r>
  <r>
    <n v="1743"/>
    <s v="Arnel Mendoza Macapagal"/>
    <x v="4"/>
    <s v="Other"/>
    <n v="58"/>
    <x v="1"/>
    <x v="664"/>
    <x v="2"/>
    <x v="2"/>
    <x v="1"/>
    <n v="3007"/>
    <x v="8"/>
  </r>
  <r>
    <n v="1744"/>
    <s v="Karen Pascual"/>
    <x v="2"/>
    <s v="Female"/>
    <n v="34"/>
    <x v="0"/>
    <x v="665"/>
    <x v="2"/>
    <x v="2"/>
    <x v="1"/>
    <n v="1722"/>
    <x v="0"/>
  </r>
  <r>
    <n v="1745"/>
    <s v="Manuel Domingo Fajardo"/>
    <x v="4"/>
    <s v="Male"/>
    <n v="52"/>
    <x v="1"/>
    <x v="666"/>
    <x v="2"/>
    <x v="2"/>
    <x v="1"/>
    <n v="496"/>
    <x v="5"/>
  </r>
  <r>
    <n v="1746"/>
    <s v="Casey Miranda"/>
    <x v="1"/>
    <s v="Other"/>
    <n v="46"/>
    <x v="2"/>
    <x v="667"/>
    <x v="2"/>
    <x v="2"/>
    <x v="1"/>
    <n v="2173"/>
    <x v="2"/>
  </r>
  <r>
    <n v="1747"/>
    <s v="Eddie Ocampo Estrada"/>
    <x v="1"/>
    <s v="Male"/>
    <n v="25"/>
    <x v="3"/>
    <x v="668"/>
    <x v="2"/>
    <x v="2"/>
    <x v="1"/>
    <n v="778"/>
    <x v="7"/>
  </r>
  <r>
    <n v="1748"/>
    <s v="Hope Domingo Vega"/>
    <x v="5"/>
    <s v="Female"/>
    <n v="40"/>
    <x v="2"/>
    <x v="669"/>
    <x v="2"/>
    <x v="2"/>
    <x v="1"/>
    <n v="1325"/>
    <x v="4"/>
  </r>
  <r>
    <n v="1749"/>
    <s v="Larry Flores Navarro"/>
    <x v="0"/>
    <s v="Male"/>
    <n v="56"/>
    <x v="1"/>
    <x v="670"/>
    <x v="2"/>
    <x v="2"/>
    <x v="1"/>
    <n v="2359"/>
    <x v="6"/>
  </r>
  <r>
    <n v="1750"/>
    <s v="Gloria Solis"/>
    <x v="5"/>
    <s v="Other"/>
    <n v="50"/>
    <x v="1"/>
    <x v="671"/>
    <x v="2"/>
    <x v="2"/>
    <x v="1"/>
    <n v="2001"/>
    <x v="2"/>
  </r>
  <r>
    <n v="1751"/>
    <s v="Cameron Del Rosario"/>
    <x v="3"/>
    <s v="Other"/>
    <n v="24"/>
    <x v="3"/>
    <x v="672"/>
    <x v="66"/>
    <x v="0"/>
    <x v="0"/>
    <n v="563"/>
    <x v="5"/>
  </r>
  <r>
    <n v="1752"/>
    <s v="Paolo Wong"/>
    <x v="4"/>
    <s v="Male"/>
    <n v="41"/>
    <x v="2"/>
    <x v="673"/>
    <x v="2"/>
    <x v="2"/>
    <x v="1"/>
    <n v="2835"/>
    <x v="3"/>
  </r>
  <r>
    <n v="1753"/>
    <s v="Teresita Sy Yap"/>
    <x v="5"/>
    <s v="Female"/>
    <n v="36"/>
    <x v="0"/>
    <x v="674"/>
    <x v="273"/>
    <x v="0"/>
    <x v="0"/>
    <n v="397"/>
    <x v="5"/>
  </r>
  <r>
    <n v="1754"/>
    <s v="Rowena Soriano"/>
    <x v="4"/>
    <s v="Other"/>
    <n v="58"/>
    <x v="1"/>
    <x v="675"/>
    <x v="274"/>
    <x v="6"/>
    <x v="0"/>
    <n v="209"/>
    <x v="1"/>
  </r>
  <r>
    <n v="1755"/>
    <s v="Casey Macaraeg"/>
    <x v="1"/>
    <s v="Other"/>
    <n v="22"/>
    <x v="3"/>
    <x v="676"/>
    <x v="2"/>
    <x v="2"/>
    <x v="1"/>
    <n v="2872"/>
    <x v="3"/>
  </r>
  <r>
    <n v="1756"/>
    <s v="Casey Tolentino"/>
    <x v="2"/>
    <s v="Other"/>
    <n v="47"/>
    <x v="2"/>
    <x v="175"/>
    <x v="2"/>
    <x v="2"/>
    <x v="1"/>
    <n v="1610"/>
    <x v="0"/>
  </r>
  <r>
    <n v="1757"/>
    <s v="Annaliza Delmendo"/>
    <x v="5"/>
    <s v="Female"/>
    <n v="28"/>
    <x v="3"/>
    <x v="20"/>
    <x v="2"/>
    <x v="2"/>
    <x v="1"/>
    <n v="760"/>
    <x v="7"/>
  </r>
  <r>
    <n v="1758"/>
    <s v="Casey Navarro Sy"/>
    <x v="0"/>
    <s v="Other"/>
    <n v="54"/>
    <x v="1"/>
    <x v="677"/>
    <x v="2"/>
    <x v="2"/>
    <x v="1"/>
    <n v="2067"/>
    <x v="2"/>
  </r>
  <r>
    <n v="1759"/>
    <s v="Marcelo Flores Mercado"/>
    <x v="4"/>
    <s v="Male"/>
    <n v="45"/>
    <x v="2"/>
    <x v="678"/>
    <x v="2"/>
    <x v="2"/>
    <x v="1"/>
    <n v="2132"/>
    <x v="2"/>
  </r>
  <r>
    <n v="1760"/>
    <s v="Arnel Chan Macaraeg"/>
    <x v="3"/>
    <s v="Male"/>
    <n v="37"/>
    <x v="0"/>
    <x v="679"/>
    <x v="275"/>
    <x v="5"/>
    <x v="0"/>
    <n v="636"/>
    <x v="5"/>
  </r>
  <r>
    <n v="1761"/>
    <s v="Ronaldo Cruz Yap"/>
    <x v="5"/>
    <s v="Other"/>
    <n v="30"/>
    <x v="0"/>
    <x v="15"/>
    <x v="2"/>
    <x v="2"/>
    <x v="1"/>
    <n v="1612"/>
    <x v="0"/>
  </r>
  <r>
    <n v="1762"/>
    <s v="Patricio Soriano Go"/>
    <x v="2"/>
    <s v="Male"/>
    <n v="24"/>
    <x v="3"/>
    <x v="642"/>
    <x v="2"/>
    <x v="2"/>
    <x v="1"/>
    <n v="269"/>
    <x v="1"/>
  </r>
  <r>
    <n v="1763"/>
    <s v="Luisa Tan Salazar"/>
    <x v="0"/>
    <s v="Other"/>
    <n v="28"/>
    <x v="3"/>
    <x v="680"/>
    <x v="2"/>
    <x v="2"/>
    <x v="1"/>
    <n v="908"/>
    <x v="7"/>
  </r>
  <r>
    <n v="1764"/>
    <s v="Eduardo Lopez Sia"/>
    <x v="3"/>
    <s v="Other"/>
    <n v="40"/>
    <x v="2"/>
    <x v="681"/>
    <x v="2"/>
    <x v="2"/>
    <x v="1"/>
    <n v="2729"/>
    <x v="3"/>
  </r>
  <r>
    <n v="1765"/>
    <s v="Gani Tuazon"/>
    <x v="3"/>
    <s v="Male"/>
    <n v="47"/>
    <x v="2"/>
    <x v="682"/>
    <x v="276"/>
    <x v="3"/>
    <x v="0"/>
    <n v="418"/>
    <x v="5"/>
  </r>
  <r>
    <n v="1766"/>
    <s v="Teodoro Lim Bagtas"/>
    <x v="3"/>
    <s v="Male"/>
    <n v="48"/>
    <x v="2"/>
    <x v="683"/>
    <x v="2"/>
    <x v="2"/>
    <x v="1"/>
    <n v="2687"/>
    <x v="3"/>
  </r>
  <r>
    <n v="1767"/>
    <s v="Riley Bayani"/>
    <x v="0"/>
    <s v="Other"/>
    <n v="41"/>
    <x v="2"/>
    <x v="684"/>
    <x v="2"/>
    <x v="2"/>
    <x v="1"/>
    <n v="1242"/>
    <x v="4"/>
  </r>
  <r>
    <n v="1768"/>
    <s v="Manuel Torres Macaraeg"/>
    <x v="0"/>
    <s v="Other"/>
    <n v="29"/>
    <x v="3"/>
    <x v="685"/>
    <x v="2"/>
    <x v="2"/>
    <x v="1"/>
    <n v="3086"/>
    <x v="8"/>
  </r>
  <r>
    <n v="1769"/>
    <s v="Dennis Ramos Natividad"/>
    <x v="1"/>
    <s v="Male"/>
    <n v="29"/>
    <x v="3"/>
    <x v="686"/>
    <x v="2"/>
    <x v="2"/>
    <x v="1"/>
    <n v="665"/>
    <x v="5"/>
  </r>
  <r>
    <n v="1770"/>
    <s v="Maria Panganiban"/>
    <x v="4"/>
    <s v="Other"/>
    <n v="41"/>
    <x v="2"/>
    <x v="687"/>
    <x v="277"/>
    <x v="5"/>
    <x v="0"/>
    <n v="938"/>
    <x v="7"/>
  </r>
  <r>
    <n v="1771"/>
    <s v="Queenie Dela Cruz"/>
    <x v="2"/>
    <s v="Female"/>
    <n v="22"/>
    <x v="3"/>
    <x v="688"/>
    <x v="2"/>
    <x v="2"/>
    <x v="1"/>
    <n v="811"/>
    <x v="7"/>
  </r>
  <r>
    <n v="1772"/>
    <s v="Rosa Garcia Perez"/>
    <x v="1"/>
    <s v="Other"/>
    <n v="31"/>
    <x v="0"/>
    <x v="689"/>
    <x v="2"/>
    <x v="2"/>
    <x v="1"/>
    <n v="2895"/>
    <x v="3"/>
  </r>
  <r>
    <n v="1773"/>
    <s v="Eva Ramirez Figueroa"/>
    <x v="3"/>
    <s v="Female"/>
    <n v="57"/>
    <x v="1"/>
    <x v="690"/>
    <x v="278"/>
    <x v="1"/>
    <x v="0"/>
    <n v="1872"/>
    <x v="2"/>
  </r>
  <r>
    <n v="1774"/>
    <s v="Rachel Flores Flores"/>
    <x v="5"/>
    <s v="Female"/>
    <n v="38"/>
    <x v="0"/>
    <x v="691"/>
    <x v="2"/>
    <x v="2"/>
    <x v="1"/>
    <n v="1919"/>
    <x v="2"/>
  </r>
  <r>
    <n v="1775"/>
    <s v="Cameron Domingo Bautista"/>
    <x v="0"/>
    <s v="Other"/>
    <n v="39"/>
    <x v="0"/>
    <x v="628"/>
    <x v="279"/>
    <x v="5"/>
    <x v="0"/>
    <n v="136"/>
    <x v="1"/>
  </r>
  <r>
    <n v="1776"/>
    <s v="Alvin Ramos Ramos"/>
    <x v="1"/>
    <s v="Male"/>
    <n v="36"/>
    <x v="0"/>
    <x v="692"/>
    <x v="2"/>
    <x v="2"/>
    <x v="1"/>
    <n v="1584"/>
    <x v="0"/>
  </r>
  <r>
    <n v="1777"/>
    <s v="Cristina Bautista Go"/>
    <x v="2"/>
    <s v="Other"/>
    <n v="46"/>
    <x v="2"/>
    <x v="693"/>
    <x v="280"/>
    <x v="1"/>
    <x v="0"/>
    <n v="188"/>
    <x v="1"/>
  </r>
  <r>
    <n v="1778"/>
    <s v="Cristina Lazo"/>
    <x v="1"/>
    <s v="Other"/>
    <n v="51"/>
    <x v="1"/>
    <x v="21"/>
    <x v="2"/>
    <x v="2"/>
    <x v="1"/>
    <n v="1647"/>
    <x v="0"/>
  </r>
  <r>
    <n v="1779"/>
    <s v="Patricia Flores"/>
    <x v="1"/>
    <s v="Female"/>
    <n v="45"/>
    <x v="2"/>
    <x v="694"/>
    <x v="2"/>
    <x v="2"/>
    <x v="1"/>
    <n v="1859"/>
    <x v="2"/>
  </r>
  <r>
    <n v="1780"/>
    <s v="Gerald Navarro Suarez"/>
    <x v="0"/>
    <s v="Male"/>
    <n v="37"/>
    <x v="0"/>
    <x v="695"/>
    <x v="2"/>
    <x v="2"/>
    <x v="1"/>
    <n v="2403"/>
    <x v="6"/>
  </r>
  <r>
    <n v="1781"/>
    <s v="Vicente Sy Del Rosario"/>
    <x v="5"/>
    <s v="Male"/>
    <n v="37"/>
    <x v="0"/>
    <x v="696"/>
    <x v="281"/>
    <x v="8"/>
    <x v="0"/>
    <n v="613"/>
    <x v="5"/>
  </r>
  <r>
    <n v="1782"/>
    <s v="Cameron Jacinto"/>
    <x v="4"/>
    <s v="Other"/>
    <n v="65"/>
    <x v="4"/>
    <x v="697"/>
    <x v="282"/>
    <x v="6"/>
    <x v="0"/>
    <n v="258"/>
    <x v="1"/>
  </r>
  <r>
    <n v="1783"/>
    <s v="Elena Go Chan"/>
    <x v="5"/>
    <s v="Other"/>
    <n v="24"/>
    <x v="3"/>
    <x v="698"/>
    <x v="283"/>
    <x v="0"/>
    <x v="0"/>
    <n v="1031"/>
    <x v="7"/>
  </r>
  <r>
    <n v="1784"/>
    <s v="Rowena Torres Viray"/>
    <x v="4"/>
    <s v="Other"/>
    <n v="52"/>
    <x v="1"/>
    <x v="699"/>
    <x v="2"/>
    <x v="2"/>
    <x v="1"/>
    <n v="2931"/>
    <x v="8"/>
  </r>
  <r>
    <n v="1785"/>
    <s v="Juan Aguilar Del Rosario"/>
    <x v="2"/>
    <s v="Other"/>
    <n v="28"/>
    <x v="3"/>
    <x v="700"/>
    <x v="284"/>
    <x v="0"/>
    <x v="0"/>
    <n v="671"/>
    <x v="5"/>
  </r>
  <r>
    <n v="1786"/>
    <s v="Juan Elegado"/>
    <x v="0"/>
    <s v="Male"/>
    <n v="34"/>
    <x v="0"/>
    <x v="701"/>
    <x v="2"/>
    <x v="2"/>
    <x v="1"/>
    <n v="708"/>
    <x v="5"/>
  </r>
  <r>
    <n v="1787"/>
    <s v="Danilo Torres Bautista"/>
    <x v="1"/>
    <s v="Other"/>
    <n v="36"/>
    <x v="0"/>
    <x v="702"/>
    <x v="2"/>
    <x v="2"/>
    <x v="1"/>
    <n v="1058"/>
    <x v="7"/>
  </r>
  <r>
    <n v="1788"/>
    <s v="Ferdi Roque"/>
    <x v="4"/>
    <s v="Male"/>
    <n v="27"/>
    <x v="3"/>
    <x v="328"/>
    <x v="61"/>
    <x v="5"/>
    <x v="0"/>
    <n v="256"/>
    <x v="1"/>
  </r>
  <r>
    <n v="1789"/>
    <s v="Warren Dalisay"/>
    <x v="4"/>
    <s v="Male"/>
    <n v="42"/>
    <x v="2"/>
    <x v="703"/>
    <x v="2"/>
    <x v="2"/>
    <x v="1"/>
    <n v="2919"/>
    <x v="3"/>
  </r>
  <r>
    <n v="1790"/>
    <s v="Carlos Dalisay"/>
    <x v="3"/>
    <s v="Other"/>
    <n v="57"/>
    <x v="1"/>
    <x v="704"/>
    <x v="285"/>
    <x v="3"/>
    <x v="0"/>
    <n v="289"/>
    <x v="1"/>
  </r>
  <r>
    <n v="1791"/>
    <s v="Hernando Sy"/>
    <x v="5"/>
    <s v="Male"/>
    <n v="45"/>
    <x v="2"/>
    <x v="705"/>
    <x v="2"/>
    <x v="2"/>
    <x v="1"/>
    <n v="2719"/>
    <x v="3"/>
  </r>
  <r>
    <n v="1792"/>
    <s v="Vanessa Co"/>
    <x v="2"/>
    <s v="Female"/>
    <n v="34"/>
    <x v="0"/>
    <x v="358"/>
    <x v="2"/>
    <x v="2"/>
    <x v="1"/>
    <n v="2431"/>
    <x v="6"/>
  </r>
  <r>
    <n v="1793"/>
    <s v="Grace Guevarra"/>
    <x v="3"/>
    <s v="Female"/>
    <n v="40"/>
    <x v="2"/>
    <x v="706"/>
    <x v="2"/>
    <x v="2"/>
    <x v="1"/>
    <n v="1088"/>
    <x v="7"/>
  </r>
  <r>
    <n v="1794"/>
    <s v="Gina Sy Wong"/>
    <x v="4"/>
    <s v="Female"/>
    <n v="44"/>
    <x v="2"/>
    <x v="707"/>
    <x v="286"/>
    <x v="3"/>
    <x v="0"/>
    <n v="546"/>
    <x v="5"/>
  </r>
  <r>
    <n v="1795"/>
    <s v="Eduardo Go Cueto"/>
    <x v="1"/>
    <s v="Male"/>
    <n v="44"/>
    <x v="2"/>
    <x v="708"/>
    <x v="287"/>
    <x v="5"/>
    <x v="0"/>
    <n v="412"/>
    <x v="5"/>
  </r>
  <r>
    <n v="1796"/>
    <s v="Mark Sy Ramos"/>
    <x v="5"/>
    <s v="Male"/>
    <n v="30"/>
    <x v="0"/>
    <x v="98"/>
    <x v="2"/>
    <x v="2"/>
    <x v="1"/>
    <n v="1070"/>
    <x v="7"/>
  </r>
  <r>
    <n v="1797"/>
    <s v="Manuel Pascual Uy"/>
    <x v="1"/>
    <s v="Other"/>
    <n v="40"/>
    <x v="2"/>
    <x v="389"/>
    <x v="2"/>
    <x v="2"/>
    <x v="1"/>
    <n v="2490"/>
    <x v="6"/>
  </r>
  <r>
    <n v="1798"/>
    <s v="Cardo Delos Reyes"/>
    <x v="0"/>
    <s v="Male"/>
    <n v="23"/>
    <x v="3"/>
    <x v="359"/>
    <x v="288"/>
    <x v="5"/>
    <x v="0"/>
    <n v="525"/>
    <x v="5"/>
  </r>
  <r>
    <n v="1799"/>
    <s v="Miguel Gonzales"/>
    <x v="2"/>
    <s v="Male"/>
    <n v="58"/>
    <x v="1"/>
    <x v="709"/>
    <x v="2"/>
    <x v="2"/>
    <x v="1"/>
    <n v="2764"/>
    <x v="3"/>
  </r>
  <r>
    <n v="1800"/>
    <s v="Luisa Trinidad"/>
    <x v="0"/>
    <s v="Other"/>
    <n v="64"/>
    <x v="4"/>
    <x v="194"/>
    <x v="289"/>
    <x v="6"/>
    <x v="0"/>
    <n v="1309"/>
    <x v="4"/>
  </r>
  <r>
    <n v="1801"/>
    <s v="Taylor Santos Lacson"/>
    <x v="4"/>
    <s v="Other"/>
    <n v="32"/>
    <x v="0"/>
    <x v="710"/>
    <x v="290"/>
    <x v="3"/>
    <x v="0"/>
    <n v="1152"/>
    <x v="4"/>
  </r>
  <r>
    <n v="1802"/>
    <s v="Ivy Sia"/>
    <x v="4"/>
    <s v="Female"/>
    <n v="51"/>
    <x v="1"/>
    <x v="711"/>
    <x v="2"/>
    <x v="2"/>
    <x v="1"/>
    <n v="1214"/>
    <x v="4"/>
  </r>
  <r>
    <n v="1803"/>
    <s v="Arnel Cruz"/>
    <x v="3"/>
    <s v="Male"/>
    <n v="46"/>
    <x v="2"/>
    <x v="694"/>
    <x v="291"/>
    <x v="0"/>
    <x v="0"/>
    <n v="366"/>
    <x v="5"/>
  </r>
  <r>
    <n v="1804"/>
    <s v="Olive Go Diaz"/>
    <x v="1"/>
    <s v="Female"/>
    <n v="51"/>
    <x v="1"/>
    <x v="712"/>
    <x v="292"/>
    <x v="5"/>
    <x v="0"/>
    <n v="213"/>
    <x v="1"/>
  </r>
  <r>
    <n v="1805"/>
    <s v="Victor Uy Viray"/>
    <x v="1"/>
    <s v="Male"/>
    <n v="28"/>
    <x v="3"/>
    <x v="713"/>
    <x v="2"/>
    <x v="2"/>
    <x v="1"/>
    <n v="2418"/>
    <x v="6"/>
  </r>
  <r>
    <n v="1806"/>
    <s v="Bea Camacho"/>
    <x v="0"/>
    <s v="Female"/>
    <n v="57"/>
    <x v="1"/>
    <x v="714"/>
    <x v="293"/>
    <x v="0"/>
    <x v="0"/>
    <n v="106"/>
    <x v="1"/>
  </r>
  <r>
    <n v="1807"/>
    <s v="Xander Obispo"/>
    <x v="5"/>
    <s v="Male"/>
    <n v="56"/>
    <x v="1"/>
    <x v="715"/>
    <x v="294"/>
    <x v="8"/>
    <x v="0"/>
    <n v="908"/>
    <x v="7"/>
  </r>
  <r>
    <n v="1808"/>
    <s v="Teresa Navarro Cruz"/>
    <x v="5"/>
    <s v="Other"/>
    <n v="52"/>
    <x v="1"/>
    <x v="716"/>
    <x v="2"/>
    <x v="2"/>
    <x v="1"/>
    <n v="2149"/>
    <x v="2"/>
  </r>
  <r>
    <n v="1809"/>
    <s v="Bea Castro Cruz"/>
    <x v="0"/>
    <s v="Female"/>
    <n v="47"/>
    <x v="2"/>
    <x v="717"/>
    <x v="295"/>
    <x v="5"/>
    <x v="0"/>
    <n v="800"/>
    <x v="7"/>
  </r>
  <r>
    <n v="1810"/>
    <s v="Gerald Quiambao"/>
    <x v="0"/>
    <s v="Male"/>
    <n v="53"/>
    <x v="1"/>
    <x v="718"/>
    <x v="2"/>
    <x v="2"/>
    <x v="1"/>
    <n v="2199"/>
    <x v="6"/>
  </r>
  <r>
    <n v="1811"/>
    <s v="Jerome Tuazon"/>
    <x v="5"/>
    <s v="Male"/>
    <n v="39"/>
    <x v="0"/>
    <x v="719"/>
    <x v="2"/>
    <x v="2"/>
    <x v="1"/>
    <n v="1500"/>
    <x v="0"/>
  </r>
  <r>
    <n v="1812"/>
    <s v="Ferdi Lopez Flores"/>
    <x v="2"/>
    <s v="Male"/>
    <n v="39"/>
    <x v="0"/>
    <x v="642"/>
    <x v="2"/>
    <x v="2"/>
    <x v="1"/>
    <n v="269"/>
    <x v="1"/>
  </r>
  <r>
    <n v="1813"/>
    <s v="Rosa Crisostomo"/>
    <x v="0"/>
    <s v="Female"/>
    <n v="47"/>
    <x v="2"/>
    <x v="720"/>
    <x v="296"/>
    <x v="8"/>
    <x v="0"/>
    <n v="304"/>
    <x v="1"/>
  </r>
  <r>
    <n v="1814"/>
    <s v="Karen Ramirez Lacson"/>
    <x v="4"/>
    <s v="Female"/>
    <n v="53"/>
    <x v="1"/>
    <x v="721"/>
    <x v="2"/>
    <x v="2"/>
    <x v="1"/>
    <n v="2968"/>
    <x v="8"/>
  </r>
  <r>
    <n v="1815"/>
    <s v="Elena Fernandez Jacinto"/>
    <x v="1"/>
    <s v="Female"/>
    <n v="37"/>
    <x v="0"/>
    <x v="722"/>
    <x v="2"/>
    <x v="2"/>
    <x v="1"/>
    <n v="1705"/>
    <x v="0"/>
  </r>
  <r>
    <n v="1816"/>
    <s v="Morgan Lopez"/>
    <x v="2"/>
    <s v="Other"/>
    <n v="27"/>
    <x v="3"/>
    <x v="723"/>
    <x v="142"/>
    <x v="3"/>
    <x v="0"/>
    <n v="146"/>
    <x v="1"/>
  </r>
  <r>
    <n v="1817"/>
    <s v="Morgan Santiago"/>
    <x v="0"/>
    <s v="Other"/>
    <n v="27"/>
    <x v="3"/>
    <x v="231"/>
    <x v="297"/>
    <x v="0"/>
    <x v="0"/>
    <n v="197"/>
    <x v="1"/>
  </r>
  <r>
    <n v="1818"/>
    <s v="Lourdes Domingo"/>
    <x v="1"/>
    <s v="Female"/>
    <n v="49"/>
    <x v="2"/>
    <x v="554"/>
    <x v="2"/>
    <x v="2"/>
    <x v="1"/>
    <n v="1026"/>
    <x v="7"/>
  </r>
  <r>
    <n v="1819"/>
    <s v="Maria Uy"/>
    <x v="4"/>
    <s v="Female"/>
    <n v="33"/>
    <x v="0"/>
    <x v="724"/>
    <x v="2"/>
    <x v="2"/>
    <x v="1"/>
    <n v="1300"/>
    <x v="4"/>
  </r>
  <r>
    <n v="1820"/>
    <s v="Teresita Domingo"/>
    <x v="0"/>
    <s v="Female"/>
    <n v="31"/>
    <x v="0"/>
    <x v="536"/>
    <x v="298"/>
    <x v="5"/>
    <x v="0"/>
    <n v="1789"/>
    <x v="0"/>
  </r>
  <r>
    <n v="1821"/>
    <s v="Ana Roque"/>
    <x v="0"/>
    <s v="Other"/>
    <n v="29"/>
    <x v="3"/>
    <x v="725"/>
    <x v="2"/>
    <x v="2"/>
    <x v="1"/>
    <n v="1342"/>
    <x v="4"/>
  </r>
  <r>
    <n v="1822"/>
    <s v="Teresa Navarro Aquino"/>
    <x v="0"/>
    <s v="Other"/>
    <n v="22"/>
    <x v="3"/>
    <x v="658"/>
    <x v="299"/>
    <x v="1"/>
    <x v="0"/>
    <n v="110"/>
    <x v="1"/>
  </r>
  <r>
    <n v="1823"/>
    <s v="Jamie Delos Reyes"/>
    <x v="4"/>
    <s v="Other"/>
    <n v="48"/>
    <x v="2"/>
    <x v="726"/>
    <x v="2"/>
    <x v="2"/>
    <x v="1"/>
    <n v="2847"/>
    <x v="3"/>
  </r>
  <r>
    <n v="1824"/>
    <s v="Pete Sia"/>
    <x v="1"/>
    <s v="Male"/>
    <n v="54"/>
    <x v="1"/>
    <x v="727"/>
    <x v="2"/>
    <x v="2"/>
    <x v="1"/>
    <n v="1887"/>
    <x v="2"/>
  </r>
  <r>
    <n v="1825"/>
    <s v="Diosdado Flores Jimenez"/>
    <x v="4"/>
    <s v="Male"/>
    <n v="38"/>
    <x v="0"/>
    <x v="728"/>
    <x v="2"/>
    <x v="2"/>
    <x v="1"/>
    <n v="937"/>
    <x v="7"/>
  </r>
  <r>
    <n v="1826"/>
    <s v="Bryan Diaz Ramos"/>
    <x v="2"/>
    <s v="Male"/>
    <n v="49"/>
    <x v="2"/>
    <x v="729"/>
    <x v="300"/>
    <x v="1"/>
    <x v="0"/>
    <n v="193"/>
    <x v="1"/>
  </r>
  <r>
    <n v="1827"/>
    <s v="Carlos Soriano Rivera"/>
    <x v="4"/>
    <s v="Other"/>
    <n v="29"/>
    <x v="3"/>
    <x v="730"/>
    <x v="2"/>
    <x v="2"/>
    <x v="1"/>
    <n v="967"/>
    <x v="7"/>
  </r>
  <r>
    <n v="1828"/>
    <s v="Rosa Bautista Bagtas"/>
    <x v="0"/>
    <s v="Other"/>
    <n v="59"/>
    <x v="1"/>
    <x v="731"/>
    <x v="301"/>
    <x v="6"/>
    <x v="0"/>
    <n v="1149"/>
    <x v="4"/>
  </r>
  <r>
    <n v="1829"/>
    <s v="Daisy Santos Sia"/>
    <x v="2"/>
    <s v="Female"/>
    <n v="53"/>
    <x v="1"/>
    <x v="21"/>
    <x v="302"/>
    <x v="4"/>
    <x v="0"/>
    <n v="1423"/>
    <x v="4"/>
  </r>
  <r>
    <n v="1830"/>
    <s v="Gloria Soriano Perez"/>
    <x v="4"/>
    <s v="Other"/>
    <n v="58"/>
    <x v="1"/>
    <x v="277"/>
    <x v="2"/>
    <x v="2"/>
    <x v="1"/>
    <n v="782"/>
    <x v="7"/>
  </r>
  <r>
    <n v="1831"/>
    <s v="Eduardo Castro Lopez"/>
    <x v="4"/>
    <s v="Other"/>
    <n v="57"/>
    <x v="1"/>
    <x v="549"/>
    <x v="303"/>
    <x v="8"/>
    <x v="0"/>
    <n v="186"/>
    <x v="1"/>
  </r>
  <r>
    <n v="1832"/>
    <s v="Paolo Sy Ramos"/>
    <x v="2"/>
    <s v="Male"/>
    <n v="27"/>
    <x v="3"/>
    <x v="568"/>
    <x v="2"/>
    <x v="2"/>
    <x v="1"/>
    <n v="2498"/>
    <x v="6"/>
  </r>
  <r>
    <n v="1833"/>
    <s v="Larry Tolentino"/>
    <x v="2"/>
    <s v="Male"/>
    <n v="49"/>
    <x v="2"/>
    <x v="732"/>
    <x v="304"/>
    <x v="7"/>
    <x v="0"/>
    <n v="1739"/>
    <x v="0"/>
  </r>
  <r>
    <n v="1834"/>
    <s v="Gani Dela Torre"/>
    <x v="0"/>
    <s v="Male"/>
    <n v="49"/>
    <x v="2"/>
    <x v="733"/>
    <x v="2"/>
    <x v="2"/>
    <x v="1"/>
    <n v="276"/>
    <x v="1"/>
  </r>
  <r>
    <n v="1835"/>
    <s v="Belinda Torres Lazo"/>
    <x v="2"/>
    <s v="Female"/>
    <n v="29"/>
    <x v="3"/>
    <x v="734"/>
    <x v="2"/>
    <x v="2"/>
    <x v="1"/>
    <n v="1113"/>
    <x v="4"/>
  </r>
  <r>
    <n v="1836"/>
    <s v="Kevin Castro"/>
    <x v="5"/>
    <s v="Male"/>
    <n v="23"/>
    <x v="3"/>
    <x v="735"/>
    <x v="2"/>
    <x v="2"/>
    <x v="1"/>
    <n v="2456"/>
    <x v="6"/>
  </r>
  <r>
    <n v="1837"/>
    <s v="Grace Ang Ignacio"/>
    <x v="4"/>
    <s v="Female"/>
    <n v="57"/>
    <x v="1"/>
    <x v="187"/>
    <x v="305"/>
    <x v="0"/>
    <x v="0"/>
    <n v="403"/>
    <x v="5"/>
  </r>
  <r>
    <n v="1838"/>
    <s v="Ofelia Navarro"/>
    <x v="1"/>
    <s v="Female"/>
    <n v="58"/>
    <x v="1"/>
    <x v="384"/>
    <x v="306"/>
    <x v="3"/>
    <x v="0"/>
    <n v="714"/>
    <x v="5"/>
  </r>
  <r>
    <n v="1839"/>
    <s v="Yvonne Uy Umali"/>
    <x v="0"/>
    <s v="Female"/>
    <n v="43"/>
    <x v="2"/>
    <x v="19"/>
    <x v="2"/>
    <x v="2"/>
    <x v="1"/>
    <n v="2822"/>
    <x v="3"/>
  </r>
  <r>
    <n v="1840"/>
    <s v="Carmen Natividad"/>
    <x v="3"/>
    <s v="Other"/>
    <n v="51"/>
    <x v="1"/>
    <x v="528"/>
    <x v="307"/>
    <x v="8"/>
    <x v="0"/>
    <n v="231"/>
    <x v="1"/>
  </r>
  <r>
    <n v="1841"/>
    <s v="Ana Tan Salazar"/>
    <x v="1"/>
    <s v="Other"/>
    <n v="26"/>
    <x v="3"/>
    <x v="736"/>
    <x v="2"/>
    <x v="2"/>
    <x v="1"/>
    <n v="539"/>
    <x v="5"/>
  </r>
  <r>
    <n v="1842"/>
    <s v="Imelda Soriano Lazo"/>
    <x v="4"/>
    <s v="Female"/>
    <n v="49"/>
    <x v="2"/>
    <x v="300"/>
    <x v="2"/>
    <x v="2"/>
    <x v="1"/>
    <n v="1962"/>
    <x v="2"/>
  </r>
  <r>
    <n v="1843"/>
    <s v="Mae Diaz"/>
    <x v="0"/>
    <s v="Female"/>
    <n v="56"/>
    <x v="1"/>
    <x v="421"/>
    <x v="308"/>
    <x v="4"/>
    <x v="0"/>
    <n v="306"/>
    <x v="1"/>
  </r>
  <r>
    <n v="1844"/>
    <s v="Celine Uy Santiago"/>
    <x v="0"/>
    <s v="Female"/>
    <n v="55"/>
    <x v="1"/>
    <x v="737"/>
    <x v="2"/>
    <x v="2"/>
    <x v="1"/>
    <n v="2362"/>
    <x v="6"/>
  </r>
  <r>
    <n v="1845"/>
    <s v="Gani Gonzales Cruz"/>
    <x v="1"/>
    <s v="Male"/>
    <n v="41"/>
    <x v="2"/>
    <x v="738"/>
    <x v="2"/>
    <x v="2"/>
    <x v="1"/>
    <n v="1453"/>
    <x v="4"/>
  </r>
  <r>
    <n v="1846"/>
    <s v="Gloria Gonzales Pascual"/>
    <x v="4"/>
    <s v="Other"/>
    <n v="41"/>
    <x v="2"/>
    <x v="739"/>
    <x v="309"/>
    <x v="4"/>
    <x v="0"/>
    <n v="324"/>
    <x v="1"/>
  </r>
  <r>
    <n v="1847"/>
    <s v="Pilar Solis"/>
    <x v="4"/>
    <s v="Female"/>
    <n v="40"/>
    <x v="2"/>
    <x v="740"/>
    <x v="2"/>
    <x v="2"/>
    <x v="1"/>
    <n v="1430"/>
    <x v="4"/>
  </r>
  <r>
    <n v="1848"/>
    <s v="Rodel Torres Chan"/>
    <x v="1"/>
    <s v="Other"/>
    <n v="40"/>
    <x v="2"/>
    <x v="741"/>
    <x v="310"/>
    <x v="5"/>
    <x v="0"/>
    <n v="381"/>
    <x v="5"/>
  </r>
  <r>
    <n v="1849"/>
    <s v="Kath Salazar"/>
    <x v="1"/>
    <s v="Female"/>
    <n v="58"/>
    <x v="1"/>
    <x v="742"/>
    <x v="2"/>
    <x v="2"/>
    <x v="1"/>
    <n v="2130"/>
    <x v="2"/>
  </r>
  <r>
    <n v="1850"/>
    <s v="Queenie Mendoza Cruz"/>
    <x v="4"/>
    <s v="Female"/>
    <n v="56"/>
    <x v="1"/>
    <x v="743"/>
    <x v="311"/>
    <x v="5"/>
    <x v="0"/>
    <n v="149"/>
    <x v="1"/>
  </r>
  <r>
    <n v="1851"/>
    <s v="Warren Ramos"/>
    <x v="4"/>
    <s v="Male"/>
    <n v="29"/>
    <x v="3"/>
    <x v="744"/>
    <x v="2"/>
    <x v="2"/>
    <x v="1"/>
    <n v="1851"/>
    <x v="2"/>
  </r>
  <r>
    <n v="1852"/>
    <s v="Juan Sy Uy"/>
    <x v="0"/>
    <s v="Other"/>
    <n v="30"/>
    <x v="0"/>
    <x v="745"/>
    <x v="2"/>
    <x v="2"/>
    <x v="1"/>
    <n v="1569"/>
    <x v="0"/>
  </r>
  <r>
    <n v="1853"/>
    <s v="Aldrin Corpuz"/>
    <x v="3"/>
    <s v="Male"/>
    <n v="23"/>
    <x v="3"/>
    <x v="746"/>
    <x v="2"/>
    <x v="2"/>
    <x v="1"/>
    <n v="3094"/>
    <x v="8"/>
  </r>
  <r>
    <n v="1854"/>
    <s v="Arnel Manalang"/>
    <x v="1"/>
    <s v="Other"/>
    <n v="51"/>
    <x v="1"/>
    <x v="747"/>
    <x v="2"/>
    <x v="2"/>
    <x v="1"/>
    <n v="1979"/>
    <x v="2"/>
  </r>
  <r>
    <n v="1855"/>
    <s v="Morgan Ramirez"/>
    <x v="1"/>
    <s v="Other"/>
    <n v="62"/>
    <x v="4"/>
    <x v="75"/>
    <x v="312"/>
    <x v="6"/>
    <x v="0"/>
    <n v="376"/>
    <x v="5"/>
  </r>
  <r>
    <n v="1856"/>
    <s v="Rodel Guevarra"/>
    <x v="3"/>
    <s v="Other"/>
    <n v="34"/>
    <x v="0"/>
    <x v="748"/>
    <x v="2"/>
    <x v="2"/>
    <x v="1"/>
    <n v="598"/>
    <x v="5"/>
  </r>
  <r>
    <n v="1857"/>
    <s v="Carmen Ramos Perez"/>
    <x v="0"/>
    <s v="Other"/>
    <n v="49"/>
    <x v="2"/>
    <x v="749"/>
    <x v="313"/>
    <x v="5"/>
    <x v="0"/>
    <n v="748"/>
    <x v="7"/>
  </r>
  <r>
    <n v="1858"/>
    <s v="Jacqueline Ang Bondoc"/>
    <x v="5"/>
    <s v="Female"/>
    <n v="51"/>
    <x v="1"/>
    <x v="750"/>
    <x v="2"/>
    <x v="2"/>
    <x v="1"/>
    <n v="3081"/>
    <x v="8"/>
  </r>
  <r>
    <n v="1859"/>
    <s v="Joselito Crisostomo"/>
    <x v="5"/>
    <s v="Male"/>
    <n v="25"/>
    <x v="3"/>
    <x v="428"/>
    <x v="93"/>
    <x v="5"/>
    <x v="0"/>
    <n v="777"/>
    <x v="7"/>
  </r>
  <r>
    <n v="1860"/>
    <s v="Jose Castro Castro"/>
    <x v="4"/>
    <s v="Male"/>
    <n v="45"/>
    <x v="2"/>
    <x v="751"/>
    <x v="2"/>
    <x v="2"/>
    <x v="1"/>
    <n v="2373"/>
    <x v="6"/>
  </r>
  <r>
    <n v="1861"/>
    <s v="Mylene Soriano Diaz"/>
    <x v="4"/>
    <s v="Female"/>
    <n v="22"/>
    <x v="3"/>
    <x v="752"/>
    <x v="2"/>
    <x v="2"/>
    <x v="1"/>
    <n v="1947"/>
    <x v="2"/>
  </r>
  <r>
    <n v="1862"/>
    <s v="Natividad Tan Santos"/>
    <x v="2"/>
    <s v="Female"/>
    <n v="52"/>
    <x v="1"/>
    <x v="15"/>
    <x v="314"/>
    <x v="3"/>
    <x v="0"/>
    <n v="1099"/>
    <x v="4"/>
  </r>
  <r>
    <n v="1863"/>
    <s v="Tess Figueroa"/>
    <x v="1"/>
    <s v="Female"/>
    <n v="53"/>
    <x v="1"/>
    <x v="182"/>
    <x v="315"/>
    <x v="7"/>
    <x v="0"/>
    <n v="288"/>
    <x v="1"/>
  </r>
  <r>
    <n v="1864"/>
    <s v="Celine Diaz"/>
    <x v="0"/>
    <s v="Female"/>
    <n v="29"/>
    <x v="3"/>
    <x v="753"/>
    <x v="316"/>
    <x v="3"/>
    <x v="0"/>
    <n v="1023"/>
    <x v="7"/>
  </r>
  <r>
    <n v="1865"/>
    <s v="Alex Estrada"/>
    <x v="1"/>
    <s v="Other"/>
    <n v="55"/>
    <x v="1"/>
    <x v="754"/>
    <x v="317"/>
    <x v="3"/>
    <x v="0"/>
    <n v="376"/>
    <x v="5"/>
  </r>
  <r>
    <n v="1866"/>
    <s v="Wendy Go Ang"/>
    <x v="3"/>
    <s v="Female"/>
    <n v="41"/>
    <x v="2"/>
    <x v="755"/>
    <x v="2"/>
    <x v="2"/>
    <x v="1"/>
    <n v="1327"/>
    <x v="4"/>
  </r>
  <r>
    <n v="1867"/>
    <s v="Dennis Diaz Santos"/>
    <x v="0"/>
    <s v="Male"/>
    <n v="23"/>
    <x v="3"/>
    <x v="756"/>
    <x v="240"/>
    <x v="8"/>
    <x v="0"/>
    <n v="1810"/>
    <x v="0"/>
  </r>
  <r>
    <n v="1868"/>
    <s v="Samuel Villanueva"/>
    <x v="1"/>
    <s v="Male"/>
    <n v="22"/>
    <x v="3"/>
    <x v="757"/>
    <x v="2"/>
    <x v="2"/>
    <x v="1"/>
    <n v="2174"/>
    <x v="2"/>
  </r>
  <r>
    <n v="1869"/>
    <s v="Ramon Reyes Umali"/>
    <x v="1"/>
    <s v="Male"/>
    <n v="25"/>
    <x v="3"/>
    <x v="758"/>
    <x v="2"/>
    <x v="2"/>
    <x v="1"/>
    <n v="534"/>
    <x v="5"/>
  </r>
  <r>
    <n v="1870"/>
    <s v="Roberto Mercado Mangubat"/>
    <x v="0"/>
    <s v="Male"/>
    <n v="60"/>
    <x v="4"/>
    <x v="759"/>
    <x v="318"/>
    <x v="6"/>
    <x v="0"/>
    <n v="1059"/>
    <x v="7"/>
  </r>
  <r>
    <n v="1871"/>
    <s v="Lourdes Bautista Castro"/>
    <x v="3"/>
    <s v="Other"/>
    <n v="49"/>
    <x v="2"/>
    <x v="760"/>
    <x v="2"/>
    <x v="2"/>
    <x v="1"/>
    <n v="2707"/>
    <x v="3"/>
  </r>
  <r>
    <n v="1872"/>
    <s v="Timothy Bautista Aquino"/>
    <x v="3"/>
    <s v="Male"/>
    <n v="25"/>
    <x v="3"/>
    <x v="761"/>
    <x v="319"/>
    <x v="0"/>
    <x v="0"/>
    <n v="1900"/>
    <x v="2"/>
  </r>
  <r>
    <n v="1873"/>
    <s v="Eva Sy Salazar"/>
    <x v="0"/>
    <s v="Female"/>
    <n v="50"/>
    <x v="1"/>
    <x v="738"/>
    <x v="320"/>
    <x v="6"/>
    <x v="0"/>
    <n v="931"/>
    <x v="7"/>
  </r>
  <r>
    <n v="1874"/>
    <s v="Ramon Castro Roque"/>
    <x v="2"/>
    <s v="Male"/>
    <n v="42"/>
    <x v="2"/>
    <x v="337"/>
    <x v="2"/>
    <x v="2"/>
    <x v="1"/>
    <n v="432"/>
    <x v="5"/>
  </r>
  <r>
    <n v="1875"/>
    <s v="Leonora Domingo Macapagal"/>
    <x v="1"/>
    <s v="Female"/>
    <n v="25"/>
    <x v="3"/>
    <x v="762"/>
    <x v="2"/>
    <x v="2"/>
    <x v="1"/>
    <n v="670"/>
    <x v="5"/>
  </r>
  <r>
    <n v="1876"/>
    <s v="Christian Vega Narvasa"/>
    <x v="4"/>
    <s v="Male"/>
    <n v="49"/>
    <x v="2"/>
    <x v="763"/>
    <x v="321"/>
    <x v="0"/>
    <x v="0"/>
    <n v="270"/>
    <x v="1"/>
  </r>
  <r>
    <n v="1877"/>
    <s v="Cristina Santos Buenaventura"/>
    <x v="4"/>
    <s v="Other"/>
    <n v="30"/>
    <x v="0"/>
    <x v="764"/>
    <x v="2"/>
    <x v="2"/>
    <x v="1"/>
    <n v="2495"/>
    <x v="6"/>
  </r>
  <r>
    <n v="1878"/>
    <s v="Kristoffer Vega"/>
    <x v="0"/>
    <s v="Male"/>
    <n v="30"/>
    <x v="0"/>
    <x v="765"/>
    <x v="322"/>
    <x v="5"/>
    <x v="0"/>
    <n v="313"/>
    <x v="1"/>
  </r>
  <r>
    <n v="1879"/>
    <s v="Fe Perez"/>
    <x v="1"/>
    <s v="Female"/>
    <n v="33"/>
    <x v="0"/>
    <x v="766"/>
    <x v="2"/>
    <x v="2"/>
    <x v="1"/>
    <n v="363"/>
    <x v="1"/>
  </r>
  <r>
    <n v="1880"/>
    <s v="Alvin Santos Garcia"/>
    <x v="2"/>
    <s v="Male"/>
    <n v="42"/>
    <x v="2"/>
    <x v="293"/>
    <x v="323"/>
    <x v="0"/>
    <x v="0"/>
    <n v="258"/>
    <x v="1"/>
  </r>
  <r>
    <n v="1881"/>
    <s v="Danilo Tan San Pedro"/>
    <x v="0"/>
    <s v="Other"/>
    <n v="50"/>
    <x v="1"/>
    <x v="767"/>
    <x v="324"/>
    <x v="1"/>
    <x v="0"/>
    <n v="336"/>
    <x v="1"/>
  </r>
  <r>
    <n v="1882"/>
    <s v="Cameron Santiago Chua"/>
    <x v="1"/>
    <s v="Other"/>
    <n v="44"/>
    <x v="2"/>
    <x v="768"/>
    <x v="325"/>
    <x v="8"/>
    <x v="0"/>
    <n v="212"/>
    <x v="1"/>
  </r>
  <r>
    <n v="1883"/>
    <s v="Karen Castro Hilario"/>
    <x v="1"/>
    <s v="Female"/>
    <n v="55"/>
    <x v="1"/>
    <x v="153"/>
    <x v="326"/>
    <x v="6"/>
    <x v="0"/>
    <n v="1903"/>
    <x v="2"/>
  </r>
  <r>
    <n v="1884"/>
    <s v="Avery Panganiban"/>
    <x v="1"/>
    <s v="Other"/>
    <n v="27"/>
    <x v="3"/>
    <x v="769"/>
    <x v="2"/>
    <x v="2"/>
    <x v="1"/>
    <n v="3013"/>
    <x v="8"/>
  </r>
  <r>
    <n v="1885"/>
    <s v="Kevin Ignacio"/>
    <x v="2"/>
    <s v="Male"/>
    <n v="34"/>
    <x v="0"/>
    <x v="770"/>
    <x v="2"/>
    <x v="2"/>
    <x v="1"/>
    <n v="1849"/>
    <x v="2"/>
  </r>
  <r>
    <n v="1886"/>
    <s v="Miguel Santiago Fajardo"/>
    <x v="3"/>
    <s v="Other"/>
    <n v="48"/>
    <x v="2"/>
    <x v="771"/>
    <x v="327"/>
    <x v="3"/>
    <x v="0"/>
    <n v="625"/>
    <x v="5"/>
  </r>
  <r>
    <n v="1887"/>
    <s v="Xander Diaz"/>
    <x v="4"/>
    <s v="Male"/>
    <n v="36"/>
    <x v="0"/>
    <x v="772"/>
    <x v="2"/>
    <x v="2"/>
    <x v="1"/>
    <n v="2909"/>
    <x v="3"/>
  </r>
  <r>
    <n v="1888"/>
    <s v="Celine Flores"/>
    <x v="4"/>
    <s v="Female"/>
    <n v="36"/>
    <x v="0"/>
    <x v="773"/>
    <x v="2"/>
    <x v="2"/>
    <x v="1"/>
    <n v="2880"/>
    <x v="3"/>
  </r>
  <r>
    <n v="1889"/>
    <s v="Josephine Rivera Aquino"/>
    <x v="3"/>
    <s v="Other"/>
    <n v="34"/>
    <x v="0"/>
    <x v="774"/>
    <x v="2"/>
    <x v="2"/>
    <x v="1"/>
    <n v="2765"/>
    <x v="3"/>
  </r>
  <r>
    <n v="1890"/>
    <s v="Cardo Santiago Soriano"/>
    <x v="5"/>
    <s v="Male"/>
    <n v="53"/>
    <x v="1"/>
    <x v="775"/>
    <x v="2"/>
    <x v="2"/>
    <x v="1"/>
    <n v="1566"/>
    <x v="0"/>
  </r>
  <r>
    <n v="1891"/>
    <s v="Willy Ramirez Corpuz"/>
    <x v="0"/>
    <s v="Male"/>
    <n v="52"/>
    <x v="1"/>
    <x v="530"/>
    <x v="212"/>
    <x v="7"/>
    <x v="0"/>
    <n v="911"/>
    <x v="7"/>
  </r>
  <r>
    <n v="1892"/>
    <s v="Vince Aguilar"/>
    <x v="2"/>
    <s v="Male"/>
    <n v="36"/>
    <x v="0"/>
    <x v="776"/>
    <x v="328"/>
    <x v="3"/>
    <x v="0"/>
    <n v="960"/>
    <x v="7"/>
  </r>
  <r>
    <n v="1893"/>
    <s v="Cardo Cueto"/>
    <x v="4"/>
    <s v="Male"/>
    <n v="51"/>
    <x v="1"/>
    <x v="777"/>
    <x v="329"/>
    <x v="6"/>
    <x v="0"/>
    <n v="1530"/>
    <x v="0"/>
  </r>
  <r>
    <n v="1894"/>
    <s v="Dennis Gonzales Wong"/>
    <x v="4"/>
    <s v="Male"/>
    <n v="47"/>
    <x v="2"/>
    <x v="778"/>
    <x v="2"/>
    <x v="2"/>
    <x v="1"/>
    <n v="1593"/>
    <x v="0"/>
  </r>
  <r>
    <n v="1895"/>
    <s v="Estrella Garcia Bagtas"/>
    <x v="4"/>
    <s v="Female"/>
    <n v="25"/>
    <x v="3"/>
    <x v="779"/>
    <x v="2"/>
    <x v="2"/>
    <x v="1"/>
    <n v="1628"/>
    <x v="0"/>
  </r>
  <r>
    <n v="1896"/>
    <s v="Danilo Vega"/>
    <x v="2"/>
    <s v="Other"/>
    <n v="27"/>
    <x v="3"/>
    <x v="780"/>
    <x v="330"/>
    <x v="8"/>
    <x v="0"/>
    <n v="246"/>
    <x v="1"/>
  </r>
  <r>
    <n v="1897"/>
    <s v="Avery Miranda"/>
    <x v="4"/>
    <s v="Other"/>
    <n v="38"/>
    <x v="0"/>
    <x v="781"/>
    <x v="2"/>
    <x v="2"/>
    <x v="1"/>
    <n v="2318"/>
    <x v="6"/>
  </r>
  <r>
    <n v="1898"/>
    <s v="Vanessa Vergara"/>
    <x v="3"/>
    <s v="Female"/>
    <n v="40"/>
    <x v="2"/>
    <x v="687"/>
    <x v="2"/>
    <x v="2"/>
    <x v="1"/>
    <n v="1944"/>
    <x v="2"/>
  </r>
  <r>
    <n v="1899"/>
    <s v="Queenie Lim"/>
    <x v="5"/>
    <s v="Female"/>
    <n v="53"/>
    <x v="1"/>
    <x v="782"/>
    <x v="2"/>
    <x v="2"/>
    <x v="1"/>
    <n v="2487"/>
    <x v="6"/>
  </r>
  <r>
    <n v="1900"/>
    <s v="Fe Buenaventura"/>
    <x v="1"/>
    <s v="Female"/>
    <n v="58"/>
    <x v="1"/>
    <x v="783"/>
    <x v="2"/>
    <x v="2"/>
    <x v="1"/>
    <n v="835"/>
    <x v="7"/>
  </r>
  <r>
    <n v="1901"/>
    <s v="Sue Ramos Bautista"/>
    <x v="4"/>
    <s v="Female"/>
    <n v="47"/>
    <x v="2"/>
    <x v="400"/>
    <x v="2"/>
    <x v="2"/>
    <x v="1"/>
    <n v="2240"/>
    <x v="6"/>
  </r>
  <r>
    <n v="1902"/>
    <s v="Danilo Tan Tan"/>
    <x v="4"/>
    <s v="Other"/>
    <n v="52"/>
    <x v="1"/>
    <x v="126"/>
    <x v="2"/>
    <x v="2"/>
    <x v="1"/>
    <n v="400"/>
    <x v="5"/>
  </r>
  <r>
    <n v="1903"/>
    <s v="Maricel Ocampo"/>
    <x v="5"/>
    <s v="Other"/>
    <n v="40"/>
    <x v="2"/>
    <x v="348"/>
    <x v="2"/>
    <x v="2"/>
    <x v="1"/>
    <n v="1763"/>
    <x v="0"/>
  </r>
  <r>
    <n v="1904"/>
    <s v="Cristina Tan Quiambao"/>
    <x v="1"/>
    <s v="Other"/>
    <n v="42"/>
    <x v="2"/>
    <x v="784"/>
    <x v="2"/>
    <x v="2"/>
    <x v="1"/>
    <n v="771"/>
    <x v="7"/>
  </r>
  <r>
    <n v="1905"/>
    <s v="Leonora Uy Tuazon"/>
    <x v="3"/>
    <s v="Female"/>
    <n v="46"/>
    <x v="2"/>
    <x v="785"/>
    <x v="2"/>
    <x v="2"/>
    <x v="1"/>
    <n v="2838"/>
    <x v="3"/>
  </r>
  <r>
    <n v="1906"/>
    <s v="Jacqueline Ocampo"/>
    <x v="0"/>
    <s v="Female"/>
    <n v="31"/>
    <x v="0"/>
    <x v="786"/>
    <x v="2"/>
    <x v="2"/>
    <x v="1"/>
    <n v="2671"/>
    <x v="3"/>
  </r>
  <r>
    <n v="1907"/>
    <s v="Sarah Pascual Co"/>
    <x v="0"/>
    <s v="Female"/>
    <n v="33"/>
    <x v="0"/>
    <x v="787"/>
    <x v="2"/>
    <x v="2"/>
    <x v="1"/>
    <n v="2814"/>
    <x v="3"/>
  </r>
  <r>
    <n v="1908"/>
    <s v="Imelda Dalisay"/>
    <x v="5"/>
    <s v="Female"/>
    <n v="24"/>
    <x v="3"/>
    <x v="788"/>
    <x v="2"/>
    <x v="2"/>
    <x v="1"/>
    <n v="1589"/>
    <x v="0"/>
  </r>
  <r>
    <n v="1909"/>
    <s v="Hazel Flores Del Rosario"/>
    <x v="4"/>
    <s v="Female"/>
    <n v="28"/>
    <x v="3"/>
    <x v="154"/>
    <x v="2"/>
    <x v="2"/>
    <x v="1"/>
    <n v="2570"/>
    <x v="3"/>
  </r>
  <r>
    <n v="1910"/>
    <s v="Grace Go Ong"/>
    <x v="1"/>
    <s v="Female"/>
    <n v="48"/>
    <x v="2"/>
    <x v="592"/>
    <x v="2"/>
    <x v="2"/>
    <x v="1"/>
    <n v="376"/>
    <x v="5"/>
  </r>
  <r>
    <n v="1911"/>
    <s v="Teresita Ang Elegado"/>
    <x v="4"/>
    <s v="Female"/>
    <n v="30"/>
    <x v="0"/>
    <x v="789"/>
    <x v="331"/>
    <x v="7"/>
    <x v="0"/>
    <n v="907"/>
    <x v="7"/>
  </r>
  <r>
    <n v="1912"/>
    <s v="Alvin Manalang"/>
    <x v="0"/>
    <s v="Male"/>
    <n v="26"/>
    <x v="3"/>
    <x v="691"/>
    <x v="2"/>
    <x v="2"/>
    <x v="1"/>
    <n v="1919"/>
    <x v="2"/>
  </r>
  <r>
    <n v="1913"/>
    <s v="Eva Salazar"/>
    <x v="5"/>
    <s v="Female"/>
    <n v="32"/>
    <x v="0"/>
    <x v="790"/>
    <x v="332"/>
    <x v="1"/>
    <x v="0"/>
    <n v="1355"/>
    <x v="4"/>
  </r>
  <r>
    <n v="1914"/>
    <s v="Patricio Pascual Aguilar"/>
    <x v="1"/>
    <s v="Male"/>
    <n v="46"/>
    <x v="2"/>
    <x v="791"/>
    <x v="2"/>
    <x v="2"/>
    <x v="1"/>
    <n v="237"/>
    <x v="1"/>
  </r>
  <r>
    <n v="1915"/>
    <s v="Rica Castro"/>
    <x v="5"/>
    <s v="Female"/>
    <n v="34"/>
    <x v="0"/>
    <x v="792"/>
    <x v="2"/>
    <x v="2"/>
    <x v="1"/>
    <n v="1077"/>
    <x v="7"/>
  </r>
  <r>
    <n v="1916"/>
    <s v="Violeta Go Santiago"/>
    <x v="1"/>
    <s v="Female"/>
    <n v="41"/>
    <x v="2"/>
    <x v="793"/>
    <x v="2"/>
    <x v="2"/>
    <x v="1"/>
    <n v="1419"/>
    <x v="4"/>
  </r>
  <r>
    <n v="1917"/>
    <s v="Nathan Torres Ocampo"/>
    <x v="1"/>
    <s v="Male"/>
    <n v="50"/>
    <x v="1"/>
    <x v="445"/>
    <x v="333"/>
    <x v="3"/>
    <x v="0"/>
    <n v="907"/>
    <x v="7"/>
  </r>
  <r>
    <n v="1918"/>
    <s v="Rowena Hilario"/>
    <x v="5"/>
    <s v="Female"/>
    <n v="50"/>
    <x v="1"/>
    <x v="734"/>
    <x v="2"/>
    <x v="2"/>
    <x v="1"/>
    <n v="1113"/>
    <x v="4"/>
  </r>
  <r>
    <n v="1919"/>
    <s v="Gregorio Cruz"/>
    <x v="5"/>
    <s v="Male"/>
    <n v="51"/>
    <x v="1"/>
    <x v="794"/>
    <x v="2"/>
    <x v="2"/>
    <x v="1"/>
    <n v="1955"/>
    <x v="2"/>
  </r>
  <r>
    <n v="1920"/>
    <s v="Florinda Flores Manalo"/>
    <x v="1"/>
    <s v="Female"/>
    <n v="46"/>
    <x v="2"/>
    <x v="795"/>
    <x v="334"/>
    <x v="7"/>
    <x v="0"/>
    <n v="135"/>
    <x v="1"/>
  </r>
  <r>
    <n v="1921"/>
    <s v="Riley Zulueta"/>
    <x v="5"/>
    <s v="Other"/>
    <n v="55"/>
    <x v="1"/>
    <x v="553"/>
    <x v="2"/>
    <x v="2"/>
    <x v="1"/>
    <n v="2213"/>
    <x v="6"/>
  </r>
  <r>
    <n v="1922"/>
    <s v="Luisa Bautista Mendoza"/>
    <x v="5"/>
    <s v="Other"/>
    <n v="27"/>
    <x v="3"/>
    <x v="796"/>
    <x v="2"/>
    <x v="2"/>
    <x v="1"/>
    <n v="1499"/>
    <x v="0"/>
  </r>
  <r>
    <n v="1923"/>
    <s v="Miguel Reyes Dela Cruz"/>
    <x v="5"/>
    <s v="Other"/>
    <n v="36"/>
    <x v="0"/>
    <x v="797"/>
    <x v="2"/>
    <x v="2"/>
    <x v="1"/>
    <n v="1564"/>
    <x v="0"/>
  </r>
  <r>
    <n v="1924"/>
    <s v="Nicanor Fernandez"/>
    <x v="3"/>
    <s v="Male"/>
    <n v="33"/>
    <x v="0"/>
    <x v="798"/>
    <x v="2"/>
    <x v="2"/>
    <x v="1"/>
    <n v="313"/>
    <x v="1"/>
  </r>
  <r>
    <n v="1925"/>
    <s v="Cristina Castro Dalisay"/>
    <x v="2"/>
    <s v="Female"/>
    <n v="31"/>
    <x v="0"/>
    <x v="33"/>
    <x v="2"/>
    <x v="2"/>
    <x v="1"/>
    <n v="2918"/>
    <x v="3"/>
  </r>
  <r>
    <n v="1926"/>
    <s v="Rodel Navarro Soriano"/>
    <x v="0"/>
    <s v="Other"/>
    <n v="46"/>
    <x v="2"/>
    <x v="799"/>
    <x v="335"/>
    <x v="0"/>
    <x v="0"/>
    <n v="527"/>
    <x v="5"/>
  </r>
  <r>
    <n v="1927"/>
    <s v="Celine Corpuz"/>
    <x v="1"/>
    <s v="Female"/>
    <n v="35"/>
    <x v="0"/>
    <x v="800"/>
    <x v="2"/>
    <x v="2"/>
    <x v="1"/>
    <n v="2828"/>
    <x v="3"/>
  </r>
  <r>
    <n v="1928"/>
    <s v="Isabel Lopez"/>
    <x v="1"/>
    <s v="Other"/>
    <n v="47"/>
    <x v="2"/>
    <x v="801"/>
    <x v="2"/>
    <x v="2"/>
    <x v="1"/>
    <n v="1863"/>
    <x v="2"/>
  </r>
  <r>
    <n v="1929"/>
    <s v="Arnel Figueroa"/>
    <x v="2"/>
    <s v="Other"/>
    <n v="57"/>
    <x v="1"/>
    <x v="802"/>
    <x v="336"/>
    <x v="7"/>
    <x v="0"/>
    <n v="478"/>
    <x v="5"/>
  </r>
  <r>
    <n v="1930"/>
    <s v="Hope Diaz Enriquez"/>
    <x v="5"/>
    <s v="Female"/>
    <n v="32"/>
    <x v="0"/>
    <x v="666"/>
    <x v="2"/>
    <x v="2"/>
    <x v="1"/>
    <n v="496"/>
    <x v="5"/>
  </r>
  <r>
    <n v="1931"/>
    <s v="Antonio Santos Bagtas"/>
    <x v="1"/>
    <s v="Other"/>
    <n v="49"/>
    <x v="2"/>
    <x v="803"/>
    <x v="2"/>
    <x v="2"/>
    <x v="1"/>
    <n v="1532"/>
    <x v="0"/>
  </r>
  <r>
    <n v="1932"/>
    <s v="Rodel Ang Torres"/>
    <x v="1"/>
    <s v="Male"/>
    <n v="28"/>
    <x v="3"/>
    <x v="804"/>
    <x v="337"/>
    <x v="1"/>
    <x v="0"/>
    <n v="967"/>
    <x v="7"/>
  </r>
  <r>
    <n v="1933"/>
    <s v="Cherry San Pedro"/>
    <x v="4"/>
    <s v="Female"/>
    <n v="34"/>
    <x v="0"/>
    <x v="805"/>
    <x v="338"/>
    <x v="4"/>
    <x v="0"/>
    <n v="396"/>
    <x v="5"/>
  </r>
  <r>
    <n v="1934"/>
    <s v="Yvonne Bayani"/>
    <x v="1"/>
    <s v="Female"/>
    <n v="23"/>
    <x v="3"/>
    <x v="806"/>
    <x v="2"/>
    <x v="2"/>
    <x v="1"/>
    <n v="965"/>
    <x v="7"/>
  </r>
  <r>
    <n v="1935"/>
    <s v="Teresita Guevarra"/>
    <x v="5"/>
    <s v="Female"/>
    <n v="42"/>
    <x v="2"/>
    <x v="807"/>
    <x v="339"/>
    <x v="0"/>
    <x v="0"/>
    <n v="1194"/>
    <x v="4"/>
  </r>
  <r>
    <n v="1936"/>
    <s v="Isabel Aquino"/>
    <x v="1"/>
    <s v="Other"/>
    <n v="54"/>
    <x v="1"/>
    <x v="808"/>
    <x v="340"/>
    <x v="0"/>
    <x v="0"/>
    <n v="1379"/>
    <x v="4"/>
  </r>
  <r>
    <n v="1937"/>
    <s v="Rosa Lopez Obispo"/>
    <x v="1"/>
    <s v="Other"/>
    <n v="52"/>
    <x v="1"/>
    <x v="809"/>
    <x v="341"/>
    <x v="6"/>
    <x v="0"/>
    <n v="927"/>
    <x v="7"/>
  </r>
  <r>
    <n v="1938"/>
    <s v="Maribel Wong"/>
    <x v="5"/>
    <s v="Female"/>
    <n v="32"/>
    <x v="0"/>
    <x v="810"/>
    <x v="342"/>
    <x v="8"/>
    <x v="0"/>
    <n v="382"/>
    <x v="5"/>
  </r>
  <r>
    <n v="1939"/>
    <s v="Pilar Solis"/>
    <x v="0"/>
    <s v="Other"/>
    <n v="44"/>
    <x v="2"/>
    <x v="811"/>
    <x v="343"/>
    <x v="5"/>
    <x v="0"/>
    <n v="1054"/>
    <x v="7"/>
  </r>
  <r>
    <n v="1940"/>
    <s v="Rosa Ramos"/>
    <x v="5"/>
    <s v="Other"/>
    <n v="51"/>
    <x v="1"/>
    <x v="327"/>
    <x v="2"/>
    <x v="2"/>
    <x v="1"/>
    <n v="3017"/>
    <x v="8"/>
  </r>
  <r>
    <n v="1941"/>
    <s v="Severino Go Panganiban"/>
    <x v="3"/>
    <s v="Male"/>
    <n v="30"/>
    <x v="0"/>
    <x v="812"/>
    <x v="2"/>
    <x v="2"/>
    <x v="1"/>
    <n v="834"/>
    <x v="7"/>
  </r>
  <r>
    <n v="1942"/>
    <s v="Jaime Santiago Santos"/>
    <x v="4"/>
    <s v="Male"/>
    <n v="51"/>
    <x v="1"/>
    <x v="813"/>
    <x v="170"/>
    <x v="0"/>
    <x v="0"/>
    <n v="2012"/>
    <x v="2"/>
  </r>
  <r>
    <n v="1943"/>
    <s v="Manuel Bayani"/>
    <x v="0"/>
    <s v="Other"/>
    <n v="46"/>
    <x v="2"/>
    <x v="372"/>
    <x v="2"/>
    <x v="2"/>
    <x v="1"/>
    <n v="1570"/>
    <x v="0"/>
  </r>
  <r>
    <n v="1944"/>
    <s v="Juan Diaz"/>
    <x v="1"/>
    <s v="Other"/>
    <n v="28"/>
    <x v="3"/>
    <x v="814"/>
    <x v="2"/>
    <x v="2"/>
    <x v="1"/>
    <n v="1522"/>
    <x v="0"/>
  </r>
  <r>
    <n v="1945"/>
    <s v="Ronaldo Rivera Jimenez"/>
    <x v="3"/>
    <s v="Other"/>
    <n v="43"/>
    <x v="2"/>
    <x v="815"/>
    <x v="2"/>
    <x v="2"/>
    <x v="1"/>
    <n v="1011"/>
    <x v="7"/>
  </r>
  <r>
    <n v="1946"/>
    <s v="Sam Jimenez"/>
    <x v="3"/>
    <s v="Other"/>
    <n v="36"/>
    <x v="0"/>
    <x v="77"/>
    <x v="344"/>
    <x v="7"/>
    <x v="0"/>
    <n v="830"/>
    <x v="7"/>
  </r>
  <r>
    <n v="1947"/>
    <s v="Feliciano Garcia Reyes"/>
    <x v="1"/>
    <s v="Male"/>
    <n v="30"/>
    <x v="0"/>
    <x v="816"/>
    <x v="345"/>
    <x v="4"/>
    <x v="0"/>
    <n v="1274"/>
    <x v="4"/>
  </r>
  <r>
    <n v="1948"/>
    <s v="Casey Delmendo"/>
    <x v="5"/>
    <s v="Other"/>
    <n v="46"/>
    <x v="2"/>
    <x v="817"/>
    <x v="2"/>
    <x v="2"/>
    <x v="1"/>
    <n v="206"/>
    <x v="1"/>
  </r>
  <r>
    <n v="1949"/>
    <s v="Kath Fajardo"/>
    <x v="2"/>
    <s v="Female"/>
    <n v="48"/>
    <x v="2"/>
    <x v="818"/>
    <x v="2"/>
    <x v="2"/>
    <x v="1"/>
    <n v="2063"/>
    <x v="2"/>
  </r>
  <r>
    <n v="1950"/>
    <s v="Beatriz Tan Del Rosario"/>
    <x v="4"/>
    <s v="Female"/>
    <n v="47"/>
    <x v="2"/>
    <x v="819"/>
    <x v="346"/>
    <x v="3"/>
    <x v="0"/>
    <n v="1500"/>
    <x v="0"/>
  </r>
  <r>
    <n v="1951"/>
    <s v="Yvonne Pascual Elegado"/>
    <x v="5"/>
    <s v="Female"/>
    <n v="31"/>
    <x v="0"/>
    <x v="820"/>
    <x v="347"/>
    <x v="1"/>
    <x v="0"/>
    <n v="161"/>
    <x v="1"/>
  </r>
  <r>
    <n v="1952"/>
    <s v="Maribel Torres Viray"/>
    <x v="5"/>
    <s v="Female"/>
    <n v="44"/>
    <x v="2"/>
    <x v="268"/>
    <x v="2"/>
    <x v="2"/>
    <x v="1"/>
    <n v="2335"/>
    <x v="6"/>
  </r>
  <r>
    <n v="1953"/>
    <s v="Miguel Chan"/>
    <x v="4"/>
    <s v="Other"/>
    <n v="32"/>
    <x v="0"/>
    <x v="821"/>
    <x v="348"/>
    <x v="3"/>
    <x v="0"/>
    <n v="838"/>
    <x v="7"/>
  </r>
  <r>
    <n v="1954"/>
    <s v="Joselito Reyes Ang"/>
    <x v="2"/>
    <s v="Male"/>
    <n v="27"/>
    <x v="3"/>
    <x v="822"/>
    <x v="349"/>
    <x v="0"/>
    <x v="0"/>
    <n v="240"/>
    <x v="1"/>
  </r>
  <r>
    <n v="1955"/>
    <s v="Eduardo Santos Fernandez"/>
    <x v="0"/>
    <s v="Male"/>
    <n v="27"/>
    <x v="3"/>
    <x v="290"/>
    <x v="350"/>
    <x v="7"/>
    <x v="0"/>
    <n v="119"/>
    <x v="1"/>
  </r>
  <r>
    <n v="1956"/>
    <s v="Gerald Santiago Quiambao"/>
    <x v="4"/>
    <s v="Male"/>
    <n v="38"/>
    <x v="0"/>
    <x v="823"/>
    <x v="2"/>
    <x v="2"/>
    <x v="1"/>
    <n v="1108"/>
    <x v="4"/>
  </r>
  <r>
    <n v="1957"/>
    <s v="Oliver Panganiban"/>
    <x v="5"/>
    <s v="Male"/>
    <n v="41"/>
    <x v="2"/>
    <x v="824"/>
    <x v="2"/>
    <x v="2"/>
    <x v="1"/>
    <n v="2117"/>
    <x v="2"/>
  </r>
  <r>
    <n v="1958"/>
    <s v="Maria Obispo"/>
    <x v="3"/>
    <s v="Other"/>
    <n v="27"/>
    <x v="3"/>
    <x v="685"/>
    <x v="2"/>
    <x v="2"/>
    <x v="1"/>
    <n v="3086"/>
    <x v="8"/>
  </r>
  <r>
    <n v="1959"/>
    <s v="Teresita Chan Ignacio"/>
    <x v="3"/>
    <s v="Female"/>
    <n v="28"/>
    <x v="3"/>
    <x v="825"/>
    <x v="50"/>
    <x v="1"/>
    <x v="0"/>
    <n v="806"/>
    <x v="7"/>
  </r>
  <r>
    <n v="1960"/>
    <s v="Elmer Cruz"/>
    <x v="0"/>
    <s v="Male"/>
    <n v="21"/>
    <x v="3"/>
    <x v="826"/>
    <x v="2"/>
    <x v="2"/>
    <x v="1"/>
    <n v="485"/>
    <x v="5"/>
  </r>
  <r>
    <n v="1961"/>
    <s v="Cristina Garcia Viray"/>
    <x v="2"/>
    <s v="Other"/>
    <n v="41"/>
    <x v="2"/>
    <x v="827"/>
    <x v="2"/>
    <x v="2"/>
    <x v="1"/>
    <n v="322"/>
    <x v="1"/>
  </r>
  <r>
    <n v="1962"/>
    <s v="Taylor Castro Dela Torre"/>
    <x v="4"/>
    <s v="Other"/>
    <n v="51"/>
    <x v="1"/>
    <x v="828"/>
    <x v="2"/>
    <x v="2"/>
    <x v="1"/>
    <n v="402"/>
    <x v="5"/>
  </r>
  <r>
    <n v="1963"/>
    <s v="Manuel Figueroa"/>
    <x v="5"/>
    <s v="Other"/>
    <n v="57"/>
    <x v="1"/>
    <x v="829"/>
    <x v="351"/>
    <x v="3"/>
    <x v="0"/>
    <n v="599"/>
    <x v="5"/>
  </r>
  <r>
    <n v="1964"/>
    <s v="Oscar Lopez Sy"/>
    <x v="3"/>
    <s v="Male"/>
    <n v="49"/>
    <x v="2"/>
    <x v="830"/>
    <x v="2"/>
    <x v="2"/>
    <x v="1"/>
    <n v="2625"/>
    <x v="3"/>
  </r>
  <r>
    <n v="1965"/>
    <s v="Ramon Aguilar"/>
    <x v="5"/>
    <s v="Male"/>
    <n v="26"/>
    <x v="3"/>
    <x v="831"/>
    <x v="2"/>
    <x v="2"/>
    <x v="1"/>
    <n v="2666"/>
    <x v="3"/>
  </r>
  <r>
    <n v="1966"/>
    <s v="Eddie Ramos Enriquez"/>
    <x v="4"/>
    <s v="Male"/>
    <n v="38"/>
    <x v="0"/>
    <x v="832"/>
    <x v="2"/>
    <x v="2"/>
    <x v="1"/>
    <n v="2196"/>
    <x v="6"/>
  </r>
  <r>
    <n v="1967"/>
    <s v="Francis Tan"/>
    <x v="3"/>
    <s v="Male"/>
    <n v="52"/>
    <x v="1"/>
    <x v="833"/>
    <x v="2"/>
    <x v="2"/>
    <x v="1"/>
    <n v="2728"/>
    <x v="3"/>
  </r>
  <r>
    <n v="1968"/>
    <s v="Leonard Corpuz"/>
    <x v="5"/>
    <s v="Male"/>
    <n v="42"/>
    <x v="2"/>
    <x v="834"/>
    <x v="2"/>
    <x v="2"/>
    <x v="1"/>
    <n v="1554"/>
    <x v="0"/>
  </r>
  <r>
    <n v="1969"/>
    <s v="Casey Buenaventura"/>
    <x v="0"/>
    <s v="Other"/>
    <n v="35"/>
    <x v="0"/>
    <x v="835"/>
    <x v="352"/>
    <x v="0"/>
    <x v="0"/>
    <n v="1281"/>
    <x v="4"/>
  </r>
  <r>
    <n v="1970"/>
    <s v="Maricel Bautista San Pedro"/>
    <x v="3"/>
    <s v="Other"/>
    <n v="28"/>
    <x v="3"/>
    <x v="836"/>
    <x v="193"/>
    <x v="4"/>
    <x v="0"/>
    <n v="410"/>
    <x v="5"/>
  </r>
  <r>
    <n v="1971"/>
    <s v="Belinda Delmendo"/>
    <x v="0"/>
    <s v="Female"/>
    <n v="45"/>
    <x v="2"/>
    <x v="221"/>
    <x v="353"/>
    <x v="3"/>
    <x v="0"/>
    <n v="837"/>
    <x v="7"/>
  </r>
  <r>
    <n v="1972"/>
    <s v="Hope Mercado"/>
    <x v="0"/>
    <s v="Female"/>
    <n v="21"/>
    <x v="3"/>
    <x v="56"/>
    <x v="2"/>
    <x v="2"/>
    <x v="1"/>
    <n v="894"/>
    <x v="7"/>
  </r>
  <r>
    <n v="1973"/>
    <s v="Erlinda Del Rosario"/>
    <x v="4"/>
    <s v="Female"/>
    <n v="50"/>
    <x v="1"/>
    <x v="764"/>
    <x v="2"/>
    <x v="2"/>
    <x v="1"/>
    <n v="2495"/>
    <x v="6"/>
  </r>
  <r>
    <n v="1974"/>
    <s v="Morgan Ang"/>
    <x v="2"/>
    <s v="Other"/>
    <n v="41"/>
    <x v="2"/>
    <x v="804"/>
    <x v="2"/>
    <x v="2"/>
    <x v="1"/>
    <n v="1833"/>
    <x v="2"/>
  </r>
  <r>
    <n v="1975"/>
    <s v="Francis Domingo"/>
    <x v="5"/>
    <s v="Male"/>
    <n v="34"/>
    <x v="0"/>
    <x v="296"/>
    <x v="354"/>
    <x v="0"/>
    <x v="0"/>
    <n v="475"/>
    <x v="5"/>
  </r>
  <r>
    <n v="1976"/>
    <s v="Jose Viray"/>
    <x v="1"/>
    <s v="Other"/>
    <n v="35"/>
    <x v="0"/>
    <x v="837"/>
    <x v="2"/>
    <x v="2"/>
    <x v="1"/>
    <n v="230"/>
    <x v="1"/>
  </r>
  <r>
    <n v="1977"/>
    <s v="Danilo Estrada"/>
    <x v="4"/>
    <s v="Other"/>
    <n v="31"/>
    <x v="0"/>
    <x v="838"/>
    <x v="2"/>
    <x v="2"/>
    <x v="1"/>
    <n v="3010"/>
    <x v="8"/>
  </r>
  <r>
    <n v="1978"/>
    <s v="Carlos Co"/>
    <x v="3"/>
    <s v="Other"/>
    <n v="46"/>
    <x v="2"/>
    <x v="813"/>
    <x v="2"/>
    <x v="2"/>
    <x v="1"/>
    <n v="2804"/>
    <x v="3"/>
  </r>
  <r>
    <n v="1979"/>
    <s v="Manuel Roque"/>
    <x v="1"/>
    <s v="Other"/>
    <n v="46"/>
    <x v="2"/>
    <x v="583"/>
    <x v="355"/>
    <x v="3"/>
    <x v="0"/>
    <n v="311"/>
    <x v="1"/>
  </r>
  <r>
    <n v="1980"/>
    <s v="Lorenzo Rivera"/>
    <x v="0"/>
    <s v="Male"/>
    <n v="51"/>
    <x v="1"/>
    <x v="81"/>
    <x v="2"/>
    <x v="2"/>
    <x v="1"/>
    <n v="1906"/>
    <x v="2"/>
  </r>
  <r>
    <n v="1981"/>
    <s v="Samuel Figueroa"/>
    <x v="1"/>
    <s v="Male"/>
    <n v="44"/>
    <x v="2"/>
    <x v="839"/>
    <x v="356"/>
    <x v="5"/>
    <x v="0"/>
    <n v="241"/>
    <x v="1"/>
  </r>
  <r>
    <n v="1982"/>
    <s v="Annaliza Cueto"/>
    <x v="3"/>
    <s v="Female"/>
    <n v="51"/>
    <x v="1"/>
    <x v="840"/>
    <x v="2"/>
    <x v="2"/>
    <x v="1"/>
    <n v="2363"/>
    <x v="6"/>
  </r>
  <r>
    <n v="1983"/>
    <s v="Manuel Gonzales Hernandez"/>
    <x v="0"/>
    <s v="Other"/>
    <n v="46"/>
    <x v="2"/>
    <x v="0"/>
    <x v="357"/>
    <x v="5"/>
    <x v="0"/>
    <n v="583"/>
    <x v="5"/>
  </r>
  <r>
    <n v="1984"/>
    <s v="Leonard Ang"/>
    <x v="5"/>
    <s v="Male"/>
    <n v="26"/>
    <x v="3"/>
    <x v="841"/>
    <x v="2"/>
    <x v="2"/>
    <x v="1"/>
    <n v="1199"/>
    <x v="4"/>
  </r>
  <r>
    <n v="1985"/>
    <s v="Celine Hernandez"/>
    <x v="4"/>
    <s v="Female"/>
    <n v="65"/>
    <x v="4"/>
    <x v="842"/>
    <x v="358"/>
    <x v="6"/>
    <x v="0"/>
    <n v="2177"/>
    <x v="2"/>
  </r>
  <r>
    <n v="1986"/>
    <s v="Faith Navarro Macapagal"/>
    <x v="2"/>
    <s v="Female"/>
    <n v="51"/>
    <x v="1"/>
    <x v="423"/>
    <x v="2"/>
    <x v="2"/>
    <x v="1"/>
    <n v="458"/>
    <x v="5"/>
  </r>
  <r>
    <n v="1987"/>
    <s v="Sam Ang Tolentino"/>
    <x v="1"/>
    <s v="Other"/>
    <n v="55"/>
    <x v="1"/>
    <x v="342"/>
    <x v="2"/>
    <x v="2"/>
    <x v="1"/>
    <n v="2341"/>
    <x v="6"/>
  </r>
  <r>
    <n v="1988"/>
    <s v="Morgan Navarro"/>
    <x v="1"/>
    <s v="Other"/>
    <n v="55"/>
    <x v="1"/>
    <x v="843"/>
    <x v="359"/>
    <x v="4"/>
    <x v="0"/>
    <n v="196"/>
    <x v="1"/>
  </r>
  <r>
    <n v="1989"/>
    <s v="Herminia Cruz Dela Cruz"/>
    <x v="5"/>
    <s v="Female"/>
    <n v="49"/>
    <x v="2"/>
    <x v="844"/>
    <x v="360"/>
    <x v="8"/>
    <x v="0"/>
    <n v="353"/>
    <x v="1"/>
  </r>
  <r>
    <n v="1990"/>
    <s v="Imelda Estrada"/>
    <x v="1"/>
    <s v="Female"/>
    <n v="40"/>
    <x v="2"/>
    <x v="845"/>
    <x v="2"/>
    <x v="2"/>
    <x v="1"/>
    <n v="1609"/>
    <x v="0"/>
  </r>
  <r>
    <n v="1991"/>
    <s v="Estrella Ramos Delos Reyes"/>
    <x v="5"/>
    <s v="Female"/>
    <n v="23"/>
    <x v="3"/>
    <x v="846"/>
    <x v="2"/>
    <x v="2"/>
    <x v="1"/>
    <n v="971"/>
    <x v="7"/>
  </r>
  <r>
    <n v="1992"/>
    <s v="Pilar Santiago"/>
    <x v="0"/>
    <s v="Other"/>
    <n v="54"/>
    <x v="1"/>
    <x v="847"/>
    <x v="2"/>
    <x v="2"/>
    <x v="1"/>
    <n v="1656"/>
    <x v="0"/>
  </r>
  <r>
    <n v="1993"/>
    <s v="Rica Aguilar Rivera"/>
    <x v="5"/>
    <s v="Female"/>
    <n v="23"/>
    <x v="3"/>
    <x v="848"/>
    <x v="361"/>
    <x v="4"/>
    <x v="0"/>
    <n v="971"/>
    <x v="7"/>
  </r>
  <r>
    <n v="1994"/>
    <s v="Feliciano Domingo Vergara"/>
    <x v="1"/>
    <s v="Male"/>
    <n v="25"/>
    <x v="3"/>
    <x v="849"/>
    <x v="331"/>
    <x v="7"/>
    <x v="0"/>
    <n v="480"/>
    <x v="5"/>
  </r>
  <r>
    <n v="1995"/>
    <s v="Miguel Lopez Miranda"/>
    <x v="5"/>
    <s v="Other"/>
    <n v="30"/>
    <x v="0"/>
    <x v="850"/>
    <x v="362"/>
    <x v="1"/>
    <x v="0"/>
    <n v="734"/>
    <x v="7"/>
  </r>
  <r>
    <n v="1996"/>
    <s v="Annaliza Lim Fajardo"/>
    <x v="4"/>
    <s v="Female"/>
    <n v="58"/>
    <x v="1"/>
    <x v="851"/>
    <x v="363"/>
    <x v="6"/>
    <x v="0"/>
    <n v="1326"/>
    <x v="4"/>
  </r>
  <r>
    <n v="1997"/>
    <s v="Diosdado Mendoza Tan"/>
    <x v="1"/>
    <s v="Male"/>
    <n v="44"/>
    <x v="2"/>
    <x v="852"/>
    <x v="2"/>
    <x v="2"/>
    <x v="1"/>
    <n v="1732"/>
    <x v="0"/>
  </r>
  <r>
    <n v="1998"/>
    <s v="Morgan Soriano Soriano"/>
    <x v="4"/>
    <s v="Other"/>
    <n v="45"/>
    <x v="2"/>
    <x v="853"/>
    <x v="2"/>
    <x v="2"/>
    <x v="1"/>
    <n v="2668"/>
    <x v="3"/>
  </r>
  <r>
    <n v="1999"/>
    <s v="Rowena Wong"/>
    <x v="0"/>
    <s v="Other"/>
    <n v="27"/>
    <x v="3"/>
    <x v="224"/>
    <x v="260"/>
    <x v="3"/>
    <x v="0"/>
    <n v="675"/>
    <x v="5"/>
  </r>
  <r>
    <n v="2000"/>
    <s v="Belinda Fernandez Chan"/>
    <x v="2"/>
    <s v="Female"/>
    <n v="45"/>
    <x v="2"/>
    <x v="854"/>
    <x v="364"/>
    <x v="5"/>
    <x v="0"/>
    <n v="1739"/>
    <x v="0"/>
  </r>
  <r>
    <n v="2001"/>
    <s v="Patricia Lazo"/>
    <x v="5"/>
    <s v="Female"/>
    <n v="57"/>
    <x v="1"/>
    <x v="855"/>
    <x v="365"/>
    <x v="7"/>
    <x v="0"/>
    <n v="1575"/>
    <x v="0"/>
  </r>
  <r>
    <n v="2002"/>
    <s v="Ivan Aguilar Suarez"/>
    <x v="5"/>
    <s v="Male"/>
    <n v="50"/>
    <x v="1"/>
    <x v="367"/>
    <x v="2"/>
    <x v="2"/>
    <x v="1"/>
    <n v="2349"/>
    <x v="6"/>
  </r>
  <r>
    <n v="2003"/>
    <s v="Danilo Navarro Yap"/>
    <x v="3"/>
    <s v="Male"/>
    <n v="35"/>
    <x v="0"/>
    <x v="856"/>
    <x v="2"/>
    <x v="2"/>
    <x v="1"/>
    <n v="1848"/>
    <x v="2"/>
  </r>
  <r>
    <n v="2004"/>
    <s v="Gregorio Pascual Macapagal"/>
    <x v="2"/>
    <s v="Male"/>
    <n v="25"/>
    <x v="3"/>
    <x v="857"/>
    <x v="2"/>
    <x v="2"/>
    <x v="1"/>
    <n v="2115"/>
    <x v="2"/>
  </r>
  <r>
    <n v="2005"/>
    <s v="Crisanto Torres Umali"/>
    <x v="0"/>
    <s v="Male"/>
    <n v="21"/>
    <x v="3"/>
    <x v="858"/>
    <x v="2"/>
    <x v="2"/>
    <x v="1"/>
    <n v="1362"/>
    <x v="4"/>
  </r>
  <r>
    <n v="2006"/>
    <s v="Harold Uy"/>
    <x v="4"/>
    <s v="Male"/>
    <n v="21"/>
    <x v="3"/>
    <x v="859"/>
    <x v="2"/>
    <x v="2"/>
    <x v="1"/>
    <n v="1358"/>
    <x v="4"/>
  </r>
  <r>
    <n v="2007"/>
    <s v="Cristina Natividad"/>
    <x v="5"/>
    <s v="Other"/>
    <n v="54"/>
    <x v="1"/>
    <x v="574"/>
    <x v="2"/>
    <x v="2"/>
    <x v="1"/>
    <n v="297"/>
    <x v="1"/>
  </r>
  <r>
    <n v="2008"/>
    <s v="Pilar Crisostomo"/>
    <x v="5"/>
    <s v="Other"/>
    <n v="54"/>
    <x v="1"/>
    <x v="860"/>
    <x v="103"/>
    <x v="3"/>
    <x v="0"/>
    <n v="1593"/>
    <x v="0"/>
  </r>
  <r>
    <n v="2009"/>
    <s v="Joselito Pascual Chua"/>
    <x v="4"/>
    <s v="Male"/>
    <n v="44"/>
    <x v="2"/>
    <x v="861"/>
    <x v="255"/>
    <x v="3"/>
    <x v="0"/>
    <n v="1113"/>
    <x v="4"/>
  </r>
  <r>
    <n v="2010"/>
    <s v="Lea Ocampo"/>
    <x v="4"/>
    <s v="Female"/>
    <n v="57"/>
    <x v="1"/>
    <x v="862"/>
    <x v="296"/>
    <x v="4"/>
    <x v="0"/>
    <n v="714"/>
    <x v="5"/>
  </r>
  <r>
    <n v="2011"/>
    <s v="Taylor Gonzales Santos"/>
    <x v="2"/>
    <s v="Other"/>
    <n v="61"/>
    <x v="4"/>
    <x v="316"/>
    <x v="366"/>
    <x v="6"/>
    <x v="0"/>
    <n v="1032"/>
    <x v="7"/>
  </r>
  <r>
    <n v="2012"/>
    <s v="Florinda Ang Bondoc"/>
    <x v="4"/>
    <s v="Female"/>
    <n v="48"/>
    <x v="2"/>
    <x v="863"/>
    <x v="152"/>
    <x v="8"/>
    <x v="0"/>
    <n v="631"/>
    <x v="5"/>
  </r>
  <r>
    <n v="2013"/>
    <s v="Ronaldo Gonzales Sia"/>
    <x v="1"/>
    <s v="Other"/>
    <n v="37"/>
    <x v="0"/>
    <x v="864"/>
    <x v="2"/>
    <x v="2"/>
    <x v="1"/>
    <n v="2172"/>
    <x v="2"/>
  </r>
  <r>
    <n v="2014"/>
    <s v="Herminia Sy Ramirez"/>
    <x v="0"/>
    <s v="Female"/>
    <n v="49"/>
    <x v="2"/>
    <x v="865"/>
    <x v="2"/>
    <x v="2"/>
    <x v="1"/>
    <n v="410"/>
    <x v="5"/>
  </r>
  <r>
    <n v="2015"/>
    <s v="Ana Cruz Del Rosario"/>
    <x v="1"/>
    <s v="Other"/>
    <n v="33"/>
    <x v="0"/>
    <x v="866"/>
    <x v="367"/>
    <x v="0"/>
    <x v="0"/>
    <n v="254"/>
    <x v="1"/>
  </r>
  <r>
    <n v="2016"/>
    <s v="Annaliza Ang Camacho"/>
    <x v="1"/>
    <s v="Female"/>
    <n v="51"/>
    <x v="1"/>
    <x v="867"/>
    <x v="2"/>
    <x v="2"/>
    <x v="1"/>
    <n v="374"/>
    <x v="5"/>
  </r>
  <r>
    <n v="2017"/>
    <s v="Arnel Mendoza Flores"/>
    <x v="2"/>
    <s v="Other"/>
    <n v="41"/>
    <x v="2"/>
    <x v="868"/>
    <x v="2"/>
    <x v="2"/>
    <x v="1"/>
    <n v="1461"/>
    <x v="0"/>
  </r>
  <r>
    <n v="2018"/>
    <s v="Aileen Perez"/>
    <x v="2"/>
    <s v="Female"/>
    <n v="60"/>
    <x v="4"/>
    <x v="869"/>
    <x v="368"/>
    <x v="6"/>
    <x v="0"/>
    <n v="790"/>
    <x v="7"/>
  </r>
  <r>
    <n v="2019"/>
    <s v="Teresita Gonzales Trinidad"/>
    <x v="4"/>
    <s v="Female"/>
    <n v="52"/>
    <x v="1"/>
    <x v="842"/>
    <x v="2"/>
    <x v="2"/>
    <x v="1"/>
    <n v="2760"/>
    <x v="3"/>
  </r>
  <r>
    <n v="2020"/>
    <s v="Elena Lazo"/>
    <x v="4"/>
    <s v="Other"/>
    <n v="37"/>
    <x v="0"/>
    <x v="870"/>
    <x v="326"/>
    <x v="5"/>
    <x v="0"/>
    <n v="195"/>
    <x v="1"/>
  </r>
  <r>
    <n v="2021"/>
    <s v="Lourdes Valencia"/>
    <x v="1"/>
    <s v="Other"/>
    <n v="32"/>
    <x v="0"/>
    <x v="871"/>
    <x v="2"/>
    <x v="2"/>
    <x v="1"/>
    <n v="2326"/>
    <x v="6"/>
  </r>
  <r>
    <n v="2022"/>
    <s v="Erlinda Castro Estrada"/>
    <x v="1"/>
    <s v="Female"/>
    <n v="23"/>
    <x v="3"/>
    <x v="872"/>
    <x v="2"/>
    <x v="2"/>
    <x v="1"/>
    <n v="1977"/>
    <x v="2"/>
  </r>
  <r>
    <n v="2023"/>
    <s v="Pacita Bautista Buenaventura"/>
    <x v="1"/>
    <s v="Female"/>
    <n v="47"/>
    <x v="2"/>
    <x v="873"/>
    <x v="369"/>
    <x v="4"/>
    <x v="0"/>
    <n v="738"/>
    <x v="7"/>
  </r>
  <r>
    <n v="2024"/>
    <s v="Rafael Bautista Uy"/>
    <x v="0"/>
    <s v="Male"/>
    <n v="40"/>
    <x v="2"/>
    <x v="874"/>
    <x v="370"/>
    <x v="4"/>
    <x v="0"/>
    <n v="1239"/>
    <x v="4"/>
  </r>
  <r>
    <n v="2025"/>
    <s v="Lourdes Ang Lacson"/>
    <x v="1"/>
    <s v="Female"/>
    <n v="41"/>
    <x v="2"/>
    <x v="875"/>
    <x v="371"/>
    <x v="3"/>
    <x v="0"/>
    <n v="1237"/>
    <x v="4"/>
  </r>
  <r>
    <n v="2026"/>
    <s v="Belinda Santiago Mangubat"/>
    <x v="4"/>
    <s v="Female"/>
    <n v="27"/>
    <x v="3"/>
    <x v="380"/>
    <x v="372"/>
    <x v="1"/>
    <x v="0"/>
    <n v="231"/>
    <x v="1"/>
  </r>
  <r>
    <n v="2027"/>
    <s v="Lorenzo Mendoza Narvasa"/>
    <x v="5"/>
    <s v="Male"/>
    <n v="44"/>
    <x v="2"/>
    <x v="876"/>
    <x v="2"/>
    <x v="2"/>
    <x v="1"/>
    <n v="2123"/>
    <x v="2"/>
  </r>
  <r>
    <n v="2028"/>
    <s v="Miguel Diaz"/>
    <x v="1"/>
    <s v="Other"/>
    <n v="28"/>
    <x v="3"/>
    <x v="511"/>
    <x v="2"/>
    <x v="2"/>
    <x v="1"/>
    <n v="2930"/>
    <x v="8"/>
  </r>
  <r>
    <n v="2029"/>
    <s v="Maribel Fajardo"/>
    <x v="3"/>
    <s v="Female"/>
    <n v="55"/>
    <x v="1"/>
    <x v="877"/>
    <x v="373"/>
    <x v="5"/>
    <x v="0"/>
    <n v="461"/>
    <x v="5"/>
  </r>
  <r>
    <n v="2030"/>
    <s v="Sue Manalang"/>
    <x v="1"/>
    <s v="Female"/>
    <n v="56"/>
    <x v="1"/>
    <x v="878"/>
    <x v="2"/>
    <x v="2"/>
    <x v="1"/>
    <n v="2064"/>
    <x v="2"/>
  </r>
  <r>
    <n v="2031"/>
    <s v="Teresa Bagtas"/>
    <x v="4"/>
    <s v="Other"/>
    <n v="48"/>
    <x v="2"/>
    <x v="879"/>
    <x v="2"/>
    <x v="2"/>
    <x v="1"/>
    <n v="2821"/>
    <x v="3"/>
  </r>
  <r>
    <n v="2032"/>
    <s v="Leonora San Pedro"/>
    <x v="1"/>
    <s v="Female"/>
    <n v="29"/>
    <x v="3"/>
    <x v="187"/>
    <x v="374"/>
    <x v="0"/>
    <x v="0"/>
    <n v="1249"/>
    <x v="4"/>
  </r>
  <r>
    <n v="2033"/>
    <s v="Michael Vergara"/>
    <x v="0"/>
    <s v="Male"/>
    <n v="53"/>
    <x v="1"/>
    <x v="880"/>
    <x v="375"/>
    <x v="5"/>
    <x v="0"/>
    <n v="2176"/>
    <x v="2"/>
  </r>
  <r>
    <n v="2034"/>
    <s v="Ana Domingo Cueto"/>
    <x v="1"/>
    <s v="Female"/>
    <n v="57"/>
    <x v="1"/>
    <x v="881"/>
    <x v="2"/>
    <x v="2"/>
    <x v="1"/>
    <n v="2206"/>
    <x v="6"/>
  </r>
  <r>
    <n v="2035"/>
    <s v="Rosalinda Fernandez Chua"/>
    <x v="4"/>
    <s v="Female"/>
    <n v="38"/>
    <x v="0"/>
    <x v="882"/>
    <x v="376"/>
    <x v="0"/>
    <x v="0"/>
    <n v="319"/>
    <x v="1"/>
  </r>
  <r>
    <n v="2036"/>
    <s v="Isabel Bayani"/>
    <x v="3"/>
    <s v="Female"/>
    <n v="29"/>
    <x v="3"/>
    <x v="883"/>
    <x v="2"/>
    <x v="2"/>
    <x v="1"/>
    <n v="1991"/>
    <x v="2"/>
  </r>
  <r>
    <n v="2037"/>
    <s v="Patricia Domingo Dalisay"/>
    <x v="3"/>
    <s v="Female"/>
    <n v="28"/>
    <x v="3"/>
    <x v="884"/>
    <x v="2"/>
    <x v="2"/>
    <x v="1"/>
    <n v="3093"/>
    <x v="8"/>
  </r>
  <r>
    <n v="2038"/>
    <s v="Jose Aguilar Crisostomo"/>
    <x v="5"/>
    <s v="Male"/>
    <n v="39"/>
    <x v="0"/>
    <x v="885"/>
    <x v="2"/>
    <x v="2"/>
    <x v="1"/>
    <n v="1769"/>
    <x v="0"/>
  </r>
  <r>
    <n v="2039"/>
    <s v="Lourdes Lopez"/>
    <x v="1"/>
    <s v="Other"/>
    <n v="55"/>
    <x v="1"/>
    <x v="886"/>
    <x v="2"/>
    <x v="2"/>
    <x v="1"/>
    <n v="406"/>
    <x v="5"/>
  </r>
  <r>
    <n v="2040"/>
    <s v="Rowena Santiago"/>
    <x v="5"/>
    <s v="Other"/>
    <n v="37"/>
    <x v="0"/>
    <x v="887"/>
    <x v="2"/>
    <x v="2"/>
    <x v="1"/>
    <n v="533"/>
    <x v="5"/>
  </r>
  <r>
    <n v="2041"/>
    <s v="Tina Sy Domingo"/>
    <x v="1"/>
    <s v="Female"/>
    <n v="58"/>
    <x v="1"/>
    <x v="888"/>
    <x v="2"/>
    <x v="2"/>
    <x v="1"/>
    <n v="519"/>
    <x v="5"/>
  </r>
  <r>
    <n v="2042"/>
    <s v="Jose Gonzales Diaz"/>
    <x v="4"/>
    <s v="Other"/>
    <n v="26"/>
    <x v="3"/>
    <x v="889"/>
    <x v="377"/>
    <x v="3"/>
    <x v="0"/>
    <n v="279"/>
    <x v="1"/>
  </r>
  <r>
    <n v="2043"/>
    <s v="Leonora Sy Aquino"/>
    <x v="5"/>
    <s v="Female"/>
    <n v="31"/>
    <x v="0"/>
    <x v="890"/>
    <x v="2"/>
    <x v="2"/>
    <x v="1"/>
    <n v="2371"/>
    <x v="6"/>
  </r>
  <r>
    <n v="2044"/>
    <s v="Avery Dela Torre"/>
    <x v="4"/>
    <s v="Other"/>
    <n v="46"/>
    <x v="2"/>
    <x v="891"/>
    <x v="2"/>
    <x v="2"/>
    <x v="1"/>
    <n v="2688"/>
    <x v="3"/>
  </r>
  <r>
    <n v="2045"/>
    <s v="Elena Garcia Flores"/>
    <x v="1"/>
    <s v="Female"/>
    <n v="45"/>
    <x v="2"/>
    <x v="892"/>
    <x v="378"/>
    <x v="1"/>
    <x v="0"/>
    <n v="145"/>
    <x v="1"/>
  </r>
  <r>
    <n v="2046"/>
    <s v="Taylor Guerrero"/>
    <x v="4"/>
    <s v="Other"/>
    <n v="21"/>
    <x v="3"/>
    <x v="290"/>
    <x v="2"/>
    <x v="2"/>
    <x v="1"/>
    <n v="3060"/>
    <x v="8"/>
  </r>
  <r>
    <n v="2047"/>
    <s v="Maricel Manalo"/>
    <x v="4"/>
    <s v="Other"/>
    <n v="33"/>
    <x v="0"/>
    <x v="893"/>
    <x v="2"/>
    <x v="2"/>
    <x v="1"/>
    <n v="2528"/>
    <x v="6"/>
  </r>
  <r>
    <n v="2048"/>
    <s v="Ulysses Reyes Valencia"/>
    <x v="4"/>
    <s v="Male"/>
    <n v="36"/>
    <x v="0"/>
    <x v="894"/>
    <x v="2"/>
    <x v="2"/>
    <x v="1"/>
    <n v="2870"/>
    <x v="3"/>
  </r>
  <r>
    <n v="2049"/>
    <s v="Yvonne Ramirez Mercado"/>
    <x v="2"/>
    <s v="Female"/>
    <n v="39"/>
    <x v="0"/>
    <x v="76"/>
    <x v="2"/>
    <x v="2"/>
    <x v="1"/>
    <n v="2678"/>
    <x v="3"/>
  </r>
  <r>
    <n v="2050"/>
    <s v="Nicanor Torres Guevarra"/>
    <x v="1"/>
    <s v="Male"/>
    <n v="30"/>
    <x v="0"/>
    <x v="895"/>
    <x v="2"/>
    <x v="2"/>
    <x v="1"/>
    <n v="1651"/>
    <x v="0"/>
  </r>
  <r>
    <n v="2051"/>
    <s v="Carlos Diaz Crisostomo"/>
    <x v="0"/>
    <s v="Other"/>
    <n v="35"/>
    <x v="0"/>
    <x v="896"/>
    <x v="2"/>
    <x v="2"/>
    <x v="1"/>
    <n v="2682"/>
    <x v="3"/>
  </r>
  <r>
    <n v="2052"/>
    <s v="Jose Gonzales Estrada"/>
    <x v="1"/>
    <s v="Other"/>
    <n v="26"/>
    <x v="3"/>
    <x v="609"/>
    <x v="2"/>
    <x v="2"/>
    <x v="1"/>
    <n v="2921"/>
    <x v="3"/>
  </r>
  <r>
    <n v="2053"/>
    <s v="Lilia Ang Lopez"/>
    <x v="5"/>
    <s v="Female"/>
    <n v="40"/>
    <x v="2"/>
    <x v="736"/>
    <x v="2"/>
    <x v="2"/>
    <x v="1"/>
    <n v="539"/>
    <x v="5"/>
  </r>
  <r>
    <n v="2054"/>
    <s v="Cameron Fernandez Corpuz"/>
    <x v="5"/>
    <s v="Other"/>
    <n v="25"/>
    <x v="3"/>
    <x v="897"/>
    <x v="2"/>
    <x v="2"/>
    <x v="1"/>
    <n v="3090"/>
    <x v="8"/>
  </r>
  <r>
    <n v="2055"/>
    <s v="Fernando Ramos Mercado"/>
    <x v="4"/>
    <s v="Other"/>
    <n v="51"/>
    <x v="1"/>
    <x v="266"/>
    <x v="379"/>
    <x v="4"/>
    <x v="0"/>
    <n v="1840"/>
    <x v="2"/>
  </r>
  <r>
    <n v="2056"/>
    <s v="Paolo Quiambao"/>
    <x v="1"/>
    <s v="Male"/>
    <n v="41"/>
    <x v="2"/>
    <x v="898"/>
    <x v="2"/>
    <x v="2"/>
    <x v="1"/>
    <n v="1074"/>
    <x v="7"/>
  </r>
  <r>
    <n v="2057"/>
    <s v="Isabel Ramirez Fajardo"/>
    <x v="4"/>
    <s v="Other"/>
    <n v="36"/>
    <x v="0"/>
    <x v="580"/>
    <x v="2"/>
    <x v="2"/>
    <x v="1"/>
    <n v="1529"/>
    <x v="0"/>
  </r>
  <r>
    <n v="2058"/>
    <s v="Nicanor Santiago Jimenez"/>
    <x v="4"/>
    <s v="Male"/>
    <n v="47"/>
    <x v="2"/>
    <x v="899"/>
    <x v="2"/>
    <x v="2"/>
    <x v="1"/>
    <n v="940"/>
    <x v="7"/>
  </r>
  <r>
    <n v="2059"/>
    <s v="Avery Vega Gonzales"/>
    <x v="1"/>
    <s v="Other"/>
    <n v="22"/>
    <x v="3"/>
    <x v="900"/>
    <x v="2"/>
    <x v="2"/>
    <x v="1"/>
    <n v="1614"/>
    <x v="0"/>
  </r>
  <r>
    <n v="2060"/>
    <s v="Rowena Ramirez Camacho"/>
    <x v="4"/>
    <s v="Other"/>
    <n v="29"/>
    <x v="3"/>
    <x v="901"/>
    <x v="2"/>
    <x v="2"/>
    <x v="1"/>
    <n v="1891"/>
    <x v="2"/>
  </r>
  <r>
    <n v="2061"/>
    <s v="Aileen Mendoza Ignacio"/>
    <x v="1"/>
    <s v="Female"/>
    <n v="30"/>
    <x v="0"/>
    <x v="902"/>
    <x v="2"/>
    <x v="2"/>
    <x v="1"/>
    <n v="1552"/>
    <x v="0"/>
  </r>
  <r>
    <n v="2062"/>
    <s v="Gloria Lim Reyes"/>
    <x v="5"/>
    <s v="Female"/>
    <n v="31"/>
    <x v="0"/>
    <x v="903"/>
    <x v="380"/>
    <x v="0"/>
    <x v="0"/>
    <n v="668"/>
    <x v="5"/>
  </r>
  <r>
    <n v="2063"/>
    <s v="Faith Diaz Tuazon"/>
    <x v="1"/>
    <s v="Female"/>
    <n v="29"/>
    <x v="3"/>
    <x v="904"/>
    <x v="2"/>
    <x v="2"/>
    <x v="1"/>
    <n v="938"/>
    <x v="7"/>
  </r>
  <r>
    <n v="2064"/>
    <s v="Antonio Quiambao"/>
    <x v="4"/>
    <s v="Male"/>
    <n v="21"/>
    <x v="3"/>
    <x v="905"/>
    <x v="381"/>
    <x v="3"/>
    <x v="0"/>
    <n v="212"/>
    <x v="1"/>
  </r>
  <r>
    <n v="2065"/>
    <s v="Eva Hilario"/>
    <x v="0"/>
    <s v="Female"/>
    <n v="48"/>
    <x v="2"/>
    <x v="906"/>
    <x v="2"/>
    <x v="2"/>
    <x v="1"/>
    <n v="314"/>
    <x v="1"/>
  </r>
  <r>
    <n v="2066"/>
    <s v="Feliciano Wong"/>
    <x v="4"/>
    <s v="Male"/>
    <n v="40"/>
    <x v="2"/>
    <x v="907"/>
    <x v="2"/>
    <x v="2"/>
    <x v="1"/>
    <n v="2167"/>
    <x v="2"/>
  </r>
  <r>
    <n v="2067"/>
    <s v="Riley Ocampo Tan"/>
    <x v="0"/>
    <s v="Other"/>
    <n v="29"/>
    <x v="3"/>
    <x v="17"/>
    <x v="2"/>
    <x v="2"/>
    <x v="1"/>
    <n v="2231"/>
    <x v="6"/>
  </r>
  <r>
    <n v="2068"/>
    <s v="Leonard Santiago Pascual"/>
    <x v="2"/>
    <s v="Male"/>
    <n v="41"/>
    <x v="2"/>
    <x v="908"/>
    <x v="2"/>
    <x v="2"/>
    <x v="1"/>
    <n v="425"/>
    <x v="5"/>
  </r>
  <r>
    <n v="2069"/>
    <s v="Diana Ocampo Aguilar"/>
    <x v="5"/>
    <s v="Female"/>
    <n v="27"/>
    <x v="3"/>
    <x v="786"/>
    <x v="382"/>
    <x v="0"/>
    <x v="0"/>
    <n v="1464"/>
    <x v="0"/>
  </r>
  <r>
    <n v="2070"/>
    <s v="Carmen Cruz Sy"/>
    <x v="1"/>
    <s v="Female"/>
    <n v="40"/>
    <x v="2"/>
    <x v="909"/>
    <x v="2"/>
    <x v="2"/>
    <x v="1"/>
    <n v="2330"/>
    <x v="6"/>
  </r>
  <r>
    <n v="2071"/>
    <s v="Efren Co"/>
    <x v="0"/>
    <s v="Other"/>
    <n v="23"/>
    <x v="3"/>
    <x v="910"/>
    <x v="383"/>
    <x v="0"/>
    <x v="0"/>
    <n v="1354"/>
    <x v="4"/>
  </r>
  <r>
    <n v="2072"/>
    <s v="Lourdes Mendoza Mangubat"/>
    <x v="0"/>
    <s v="Female"/>
    <n v="46"/>
    <x v="2"/>
    <x v="316"/>
    <x v="2"/>
    <x v="2"/>
    <x v="1"/>
    <n v="1641"/>
    <x v="0"/>
  </r>
  <r>
    <n v="2073"/>
    <s v="Elena Ong"/>
    <x v="0"/>
    <s v="Other"/>
    <n v="22"/>
    <x v="3"/>
    <x v="911"/>
    <x v="2"/>
    <x v="2"/>
    <x v="1"/>
    <n v="693"/>
    <x v="5"/>
  </r>
  <r>
    <n v="2074"/>
    <s v="Maricel Flores Miranda"/>
    <x v="1"/>
    <s v="Female"/>
    <n v="50"/>
    <x v="1"/>
    <x v="912"/>
    <x v="2"/>
    <x v="2"/>
    <x v="1"/>
    <n v="2776"/>
    <x v="3"/>
  </r>
  <r>
    <n v="2075"/>
    <s v="Bong Diaz Corpuz"/>
    <x v="2"/>
    <s v="Male"/>
    <n v="31"/>
    <x v="0"/>
    <x v="913"/>
    <x v="2"/>
    <x v="2"/>
    <x v="1"/>
    <n v="1044"/>
    <x v="7"/>
  </r>
  <r>
    <n v="2076"/>
    <s v="Bea Garcia"/>
    <x v="5"/>
    <s v="Female"/>
    <n v="39"/>
    <x v="0"/>
    <x v="914"/>
    <x v="2"/>
    <x v="2"/>
    <x v="1"/>
    <n v="1623"/>
    <x v="0"/>
  </r>
  <r>
    <n v="2077"/>
    <s v="Ernesto Lozano"/>
    <x v="5"/>
    <s v="Male"/>
    <n v="34"/>
    <x v="0"/>
    <x v="748"/>
    <x v="2"/>
    <x v="2"/>
    <x v="1"/>
    <n v="598"/>
    <x v="5"/>
  </r>
  <r>
    <n v="2078"/>
    <s v="Casey Navarro Zamora"/>
    <x v="0"/>
    <s v="Other"/>
    <n v="30"/>
    <x v="0"/>
    <x v="479"/>
    <x v="2"/>
    <x v="2"/>
    <x v="1"/>
    <n v="1831"/>
    <x v="2"/>
  </r>
  <r>
    <n v="2079"/>
    <s v="Mylene Go Dela Cruz"/>
    <x v="1"/>
    <s v="Female"/>
    <n v="25"/>
    <x v="3"/>
    <x v="464"/>
    <x v="2"/>
    <x v="2"/>
    <x v="1"/>
    <n v="1951"/>
    <x v="2"/>
  </r>
  <r>
    <n v="2080"/>
    <s v="Crisanto Castro"/>
    <x v="4"/>
    <s v="Male"/>
    <n v="37"/>
    <x v="0"/>
    <x v="915"/>
    <x v="2"/>
    <x v="2"/>
    <x v="1"/>
    <n v="1288"/>
    <x v="4"/>
  </r>
  <r>
    <n v="2081"/>
    <s v="Carlos Rivera"/>
    <x v="0"/>
    <s v="Male"/>
    <n v="32"/>
    <x v="0"/>
    <x v="916"/>
    <x v="2"/>
    <x v="9"/>
    <x v="1"/>
    <n v="122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7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13">
      <pivotArea type="all" dataOnly="0" outline="0" fieldPosition="0"/>
    </format>
    <format dxfId="12">
      <pivotArea type="origin" dataOnly="0" labelOnly="1" outline="0" fieldPosition="0"/>
    </format>
    <format dxfId="11">
      <pivotArea field="9" type="button" dataOnly="0" labelOnly="1" outline="0" axis="axisCol" fieldPosition="0"/>
    </format>
    <format dxfId="10">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19">
      <pivotArea type="all" dataOnly="0" outline="0" fieldPosition="0"/>
    </format>
    <format dxfId="18">
      <pivotArea outline="0" collapsedLevelsAreSubtotals="1" fieldPosition="0"/>
    </format>
    <format dxfId="17">
      <pivotArea dataOnly="0" labelOnly="1" outline="0" axis="axisValues" fieldPosition="0"/>
    </format>
    <format dxfId="16">
      <pivotArea dataOnly="0" labelOnly="1" outline="0" axis="axisValues" fieldPosition="0"/>
    </format>
    <format dxfId="15">
      <pivotArea outline="0" collapsedLevelsAreSubtotals="1"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7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2">
      <pivotArea dataOnly="0" labelOnly="1" fieldPosition="0">
        <references count="1">
          <reference field="9" count="0"/>
        </references>
      </pivotArea>
    </format>
    <format dxfId="21">
      <pivotArea dataOnly="0" labelOnly="1" fieldPosition="0">
        <references count="1">
          <reference field="9" count="0"/>
        </references>
      </pivotArea>
    </format>
    <format dxfId="20">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7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31">
      <pivotArea type="origin" dataOnly="0" labelOnly="1" outline="0" fieldPosition="0"/>
    </format>
    <format dxfId="30">
      <pivotArea type="all" dataOnly="0" outline="0" fieldPosition="0"/>
    </format>
    <format dxfId="29">
      <pivotArea outline="0" collapsedLevelsAreSubtotals="1" fieldPosition="0"/>
    </format>
    <format dxfId="28">
      <pivotArea type="origin" dataOnly="0" labelOnly="1" outline="0" fieldPosition="0"/>
    </format>
    <format dxfId="27">
      <pivotArea field="9" type="button" dataOnly="0" labelOnly="1" outline="0" axis="axisCol" fieldPosition="0"/>
    </format>
    <format dxfId="26">
      <pivotArea field="5" type="button" dataOnly="0" labelOnly="1" outline="0" axis="axisRow" fieldPosition="0"/>
    </format>
    <format dxfId="25">
      <pivotArea dataOnly="0" labelOnly="1" fieldPosition="0">
        <references count="1">
          <reference field="5" count="0"/>
        </references>
      </pivotArea>
    </format>
    <format dxfId="24">
      <pivotArea dataOnly="0" labelOnly="1" grandRow="1" outline="0" fieldPosition="0"/>
    </format>
    <format dxfId="23">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axis="axisRow" showAll="0" sortType="descending">
      <items count="11">
        <item h="1" x="2"/>
        <item x="0"/>
        <item x="4"/>
        <item x="8"/>
        <item x="1"/>
        <item x="7"/>
        <item x="3"/>
        <item x="6"/>
        <item x="5"/>
        <item h="1"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39">
      <pivotArea type="all" dataOnly="0" outline="0" fieldPosition="0"/>
    </format>
    <format dxfId="38">
      <pivotArea outline="0" collapsedLevelsAreSubtotals="1" fieldPosition="0"/>
    </format>
    <format dxfId="37">
      <pivotArea field="8" type="button" dataOnly="0" labelOnly="1" outline="0" axis="axisRow" fieldPosition="0"/>
    </format>
    <format dxfId="36">
      <pivotArea dataOnly="0" labelOnly="1" fieldPosition="0">
        <references count="1">
          <reference field="8" count="0"/>
        </references>
      </pivotArea>
    </format>
    <format dxfId="35">
      <pivotArea dataOnly="0" labelOnly="1" grandRow="1" outline="0" fieldPosition="0"/>
    </format>
    <format dxfId="34">
      <pivotArea dataOnly="0" labelOnly="1" outline="0" axis="axisValues" fieldPosition="0"/>
    </format>
    <format dxfId="33">
      <pivotArea field="8" type="button" dataOnly="0" labelOnly="1" outline="0" axis="axisRow" fieldPosition="0"/>
    </format>
    <format dxfId="32">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7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41">
      <pivotArea type="all" dataOnly="0" outline="0" fieldPosition="0"/>
    </format>
    <format dxfId="40">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50">
      <pivotArea type="all" dataOnly="0" outline="0" fieldPosition="0"/>
    </format>
    <format dxfId="49">
      <pivotArea outline="0" collapsedLevelsAreSubtotals="1" fieldPosition="0"/>
    </format>
    <format dxfId="48">
      <pivotArea field="9" type="button" dataOnly="0" labelOnly="1" outline="0" axis="axisRow" fieldPosition="0"/>
    </format>
    <format dxfId="47">
      <pivotArea dataOnly="0" labelOnly="1" fieldPosition="0">
        <references count="1">
          <reference field="9" count="0"/>
        </references>
      </pivotArea>
    </format>
    <format dxfId="46">
      <pivotArea dataOnly="0" labelOnly="1" grandRow="1" outline="0" fieldPosition="0"/>
    </format>
    <format dxfId="45">
      <pivotArea dataOnly="0" labelOnly="1" outline="0" axis="axisValues" fieldPosition="0"/>
    </format>
    <format dxfId="44">
      <pivotArea dataOnly="0" labelOnly="1" fieldPosition="0">
        <references count="1">
          <reference field="9" count="1">
            <x v="1"/>
          </reference>
        </references>
      </pivotArea>
    </format>
    <format dxfId="43">
      <pivotArea outline="0" collapsedLevelsAreSubtotals="1" fieldPosition="0"/>
    </format>
    <format dxfId="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7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51">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7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55">
      <pivotArea type="all" dataOnly="0" outline="0" fieldPosition="0"/>
    </format>
    <format dxfId="54">
      <pivotArea outline="0" collapsedLevelsAreSubtotals="1" fieldPosition="0"/>
    </format>
    <format dxfId="53">
      <pivotArea field="9" type="button" dataOnly="0" labelOnly="1" outline="0" axis="axisCol" fieldPosition="0"/>
    </format>
    <format dxfId="52">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3">
      <pivotArea type="all" dataOnly="0" outline="0" fieldPosition="0"/>
    </format>
    <format dxfId="62">
      <pivotArea outline="0" collapsedLevelsAreSubtotals="1"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dataOnly="0" labelOnly="1" outline="0" axis="axisValues" fieldPosition="0"/>
    </format>
    <format dxfId="57">
      <pivotArea field="9" type="button" dataOnly="0" labelOnly="1" outline="0" axis="axisRow" fieldPosition="0"/>
    </format>
    <format dxfId="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9"/>
    <tableColumn id="3" xr3:uid="{889A7F92-FAC3-46E6-BF99-BC94D4B6F06D}" name="Department" dataDxfId="8"/>
    <tableColumn id="4" xr3:uid="{35408E3C-0A04-40FF-89FC-C68D9A72ADDE}" name="Gender" dataDxfId="7"/>
    <tableColumn id="5" xr3:uid="{AE754CC7-C763-4FAA-999E-E48D0629467D}" name="Age"/>
    <tableColumn id="10" xr3:uid="{0F629A70-447F-4B34-ADB1-0314AD86ABAD}" name="Age bracket" dataDxfId="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5"/>
    <tableColumn id="7" xr3:uid="{080D401A-9B4A-4959-B31A-694A39E65571}" name="Exit Date" dataDxfId="4"/>
    <tableColumn id="8" xr3:uid="{85B7AAF4-6DF5-4CAB-B9AA-53CDDF6B312B}" name="Exit Reason" dataDxfId="3"/>
    <tableColumn id="9" xr3:uid="{521A603B-EBE9-4E17-A593-E4D1F5409910}" name="Status" dataDxfId="2"/>
    <tableColumn id="12" xr3:uid="{A40A80E7-F813-473C-AE6B-846F211BABA6}" name="Tenure (days)" dataDxfId="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I43" sqref="I43"/>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45702</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67" priority="1" operator="equal">
      <formula>"Active"</formula>
    </cfRule>
    <cfRule type="cellIs" dxfId="66"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7">
        <v>1081</v>
      </c>
      <c r="K5" s="17" t="s">
        <v>31</v>
      </c>
      <c r="L5" s="82">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82">
        <v>1669.5067466266867</v>
      </c>
      <c r="AL5" s="16" t="s">
        <v>1182</v>
      </c>
      <c r="AM5" s="51" t="s">
        <v>18</v>
      </c>
      <c r="AN5" s="52" t="s">
        <v>13</v>
      </c>
    </row>
    <row r="6" spans="2:41" x14ac:dyDescent="0.3">
      <c r="K6" s="20" t="s">
        <v>12</v>
      </c>
      <c r="L6" s="83">
        <v>68</v>
      </c>
      <c r="O6" s="12" t="s">
        <v>1124</v>
      </c>
      <c r="P6" s="75">
        <v>82</v>
      </c>
      <c r="R6" s="12" t="s">
        <v>1124</v>
      </c>
      <c r="S6" s="75">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83">
        <v>800.89613526570054</v>
      </c>
      <c r="AL6" s="17" t="s">
        <v>1177</v>
      </c>
      <c r="AM6" s="78">
        <v>153</v>
      </c>
      <c r="AN6" s="79">
        <v>92</v>
      </c>
    </row>
    <row r="7" spans="2:41" x14ac:dyDescent="0.3">
      <c r="K7" s="20" t="s">
        <v>52</v>
      </c>
      <c r="L7" s="83">
        <v>64</v>
      </c>
      <c r="O7" s="31" t="s">
        <v>1132</v>
      </c>
      <c r="P7" s="75">
        <v>18</v>
      </c>
      <c r="R7" s="31" t="s">
        <v>1132</v>
      </c>
      <c r="S7" s="75"/>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84">
        <v>1336.8473635522664</v>
      </c>
      <c r="AL7" s="20" t="s">
        <v>1178</v>
      </c>
      <c r="AM7" s="80">
        <v>162</v>
      </c>
      <c r="AN7" s="75">
        <v>83</v>
      </c>
    </row>
    <row r="8" spans="2:41" x14ac:dyDescent="0.3">
      <c r="B8" s="8" t="s">
        <v>1103</v>
      </c>
      <c r="K8" s="20" t="s">
        <v>34</v>
      </c>
      <c r="L8" s="83">
        <v>46</v>
      </c>
      <c r="O8" s="31" t="s">
        <v>1133</v>
      </c>
      <c r="P8" s="75">
        <v>21</v>
      </c>
      <c r="R8" s="31" t="s">
        <v>1133</v>
      </c>
      <c r="S8" s="75">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80">
        <v>198</v>
      </c>
      <c r="AN8" s="75">
        <v>101</v>
      </c>
    </row>
    <row r="9" spans="2:41" x14ac:dyDescent="0.3">
      <c r="K9" s="20" t="s">
        <v>26</v>
      </c>
      <c r="L9" s="83">
        <v>44</v>
      </c>
      <c r="O9" s="31" t="s">
        <v>1134</v>
      </c>
      <c r="P9" s="75">
        <v>19</v>
      </c>
      <c r="R9" s="31" t="s">
        <v>1134</v>
      </c>
      <c r="S9" s="75">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6 months</v>
      </c>
      <c r="AL9" s="20" t="s">
        <v>1180</v>
      </c>
      <c r="AM9" s="80">
        <v>154</v>
      </c>
      <c r="AN9" s="75">
        <v>119</v>
      </c>
    </row>
    <row r="10" spans="2:41" x14ac:dyDescent="0.3">
      <c r="B10" s="16" t="s">
        <v>8</v>
      </c>
      <c r="C10" s="7" t="s">
        <v>1109</v>
      </c>
      <c r="K10" s="20" t="s">
        <v>65</v>
      </c>
      <c r="L10" s="83">
        <v>39</v>
      </c>
      <c r="O10" s="31" t="s">
        <v>1135</v>
      </c>
      <c r="P10" s="75">
        <v>24</v>
      </c>
      <c r="R10" s="31" t="s">
        <v>1135</v>
      </c>
      <c r="S10" s="75"/>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80"/>
      <c r="AN10" s="75">
        <v>19</v>
      </c>
    </row>
    <row r="11" spans="2:41" x14ac:dyDescent="0.3">
      <c r="B11" s="17" t="s">
        <v>18</v>
      </c>
      <c r="C11" s="82">
        <v>667</v>
      </c>
      <c r="K11" s="20" t="s">
        <v>21</v>
      </c>
      <c r="L11" s="83">
        <v>36</v>
      </c>
      <c r="O11" s="12" t="s">
        <v>1125</v>
      </c>
      <c r="P11" s="75">
        <v>96</v>
      </c>
      <c r="R11" s="12" t="s">
        <v>1125</v>
      </c>
      <c r="S11" s="75">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81">
        <v>667</v>
      </c>
      <c r="AN11" s="76">
        <v>414</v>
      </c>
    </row>
    <row r="12" spans="2:41" x14ac:dyDescent="0.3">
      <c r="B12" s="20" t="s">
        <v>13</v>
      </c>
      <c r="C12" s="83">
        <v>414</v>
      </c>
      <c r="K12" s="18" t="s">
        <v>28</v>
      </c>
      <c r="L12" s="83">
        <v>36</v>
      </c>
      <c r="O12" s="31" t="s">
        <v>1132</v>
      </c>
      <c r="P12" s="75">
        <v>30</v>
      </c>
      <c r="R12" s="31" t="s">
        <v>1132</v>
      </c>
      <c r="S12" s="75"/>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84">
        <v>1081</v>
      </c>
      <c r="K13" s="19" t="s">
        <v>1099</v>
      </c>
      <c r="L13" s="84">
        <v>414</v>
      </c>
      <c r="O13" s="31" t="s">
        <v>1133</v>
      </c>
      <c r="P13" s="75">
        <v>14</v>
      </c>
      <c r="R13" s="31" t="s">
        <v>1133</v>
      </c>
      <c r="S13" s="75">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75">
        <v>25</v>
      </c>
      <c r="R14" s="31" t="s">
        <v>1134</v>
      </c>
      <c r="S14" s="75">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75">
        <v>121</v>
      </c>
      <c r="AH14" s="12">
        <v>0</v>
      </c>
      <c r="AI14" s="75">
        <v>42</v>
      </c>
    </row>
    <row r="15" spans="2:41" x14ac:dyDescent="0.3">
      <c r="B15" s="14" t="s">
        <v>1101</v>
      </c>
      <c r="C15" s="15">
        <f>GETPIVOTDATA("Employee ID",$B$10,"Status","Exited")/GETPIVOTDATA("Employee ID",$B$10)</f>
        <v>0.38297872340425532</v>
      </c>
      <c r="D15" s="60"/>
      <c r="E15" s="60"/>
      <c r="F15" s="60"/>
      <c r="G15" s="60"/>
      <c r="H15" s="60"/>
      <c r="O15" s="31" t="s">
        <v>1135</v>
      </c>
      <c r="P15" s="75">
        <v>27</v>
      </c>
      <c r="R15" s="31" t="s">
        <v>1135</v>
      </c>
      <c r="S15" s="75">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75">
        <v>100</v>
      </c>
      <c r="AH15" s="12">
        <v>1</v>
      </c>
      <c r="AI15" s="75">
        <v>78</v>
      </c>
    </row>
    <row r="16" spans="2:41" x14ac:dyDescent="0.3">
      <c r="O16" s="12" t="s">
        <v>1126</v>
      </c>
      <c r="P16" s="75">
        <v>80</v>
      </c>
      <c r="R16" s="12" t="s">
        <v>1126</v>
      </c>
      <c r="S16" s="75">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75">
        <v>76</v>
      </c>
      <c r="AH16" s="12">
        <v>2</v>
      </c>
      <c r="AI16" s="75">
        <v>80</v>
      </c>
    </row>
    <row r="17" spans="2:35" x14ac:dyDescent="0.3">
      <c r="B17" s="8" t="s">
        <v>1107</v>
      </c>
      <c r="O17" s="31" t="s">
        <v>1132</v>
      </c>
      <c r="P17" s="75">
        <v>21</v>
      </c>
      <c r="R17" s="31" t="s">
        <v>1132</v>
      </c>
      <c r="S17" s="75">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75">
        <v>46</v>
      </c>
      <c r="AH17" s="12">
        <v>3</v>
      </c>
      <c r="AI17" s="75">
        <v>80</v>
      </c>
    </row>
    <row r="18" spans="2:35" x14ac:dyDescent="0.3">
      <c r="O18" s="31" t="s">
        <v>1133</v>
      </c>
      <c r="P18" s="75">
        <v>24</v>
      </c>
      <c r="R18" s="31" t="s">
        <v>1133</v>
      </c>
      <c r="S18" s="75">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75">
        <v>50</v>
      </c>
      <c r="AH18" s="12">
        <v>4</v>
      </c>
      <c r="AI18" s="75">
        <v>79</v>
      </c>
    </row>
    <row r="19" spans="2:35" x14ac:dyDescent="0.3">
      <c r="B19" s="11" t="s">
        <v>1108</v>
      </c>
      <c r="C19" s="21" t="s">
        <v>17</v>
      </c>
      <c r="D19" s="61"/>
      <c r="E19" s="61"/>
      <c r="F19" s="61"/>
      <c r="G19" s="61"/>
      <c r="H19" s="61"/>
      <c r="O19" s="31" t="s">
        <v>1134</v>
      </c>
      <c r="P19" s="75">
        <v>22</v>
      </c>
      <c r="R19" s="31" t="s">
        <v>1134</v>
      </c>
      <c r="S19" s="75">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75">
        <v>21</v>
      </c>
      <c r="AH19" s="12">
        <v>5</v>
      </c>
      <c r="AI19" s="75">
        <v>85</v>
      </c>
    </row>
    <row r="20" spans="2:35" x14ac:dyDescent="0.3">
      <c r="B20" s="22" t="s">
        <v>2</v>
      </c>
      <c r="C20" s="9" t="s">
        <v>13</v>
      </c>
      <c r="O20" s="31" t="s">
        <v>1135</v>
      </c>
      <c r="P20" s="75">
        <v>13</v>
      </c>
      <c r="R20" s="31" t="s">
        <v>1135</v>
      </c>
      <c r="S20" s="75">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6">
        <v>414</v>
      </c>
      <c r="AH20" s="12">
        <v>6</v>
      </c>
      <c r="AI20" s="75">
        <v>97</v>
      </c>
    </row>
    <row r="21" spans="2:35" x14ac:dyDescent="0.3">
      <c r="B21" s="12" t="s">
        <v>15</v>
      </c>
      <c r="C21" s="75">
        <v>100</v>
      </c>
      <c r="O21" s="12" t="s">
        <v>1127</v>
      </c>
      <c r="P21" s="75">
        <v>87</v>
      </c>
      <c r="R21" s="12" t="s">
        <v>1127</v>
      </c>
      <c r="S21" s="75">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75">
        <v>90</v>
      </c>
    </row>
    <row r="22" spans="2:35" x14ac:dyDescent="0.3">
      <c r="B22" s="12" t="s">
        <v>10</v>
      </c>
      <c r="C22" s="75">
        <v>96</v>
      </c>
      <c r="O22" s="31" t="s">
        <v>1132</v>
      </c>
      <c r="P22" s="75">
        <v>24</v>
      </c>
      <c r="R22" s="31" t="s">
        <v>1132</v>
      </c>
      <c r="S22" s="75">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75">
        <v>36</v>
      </c>
    </row>
    <row r="23" spans="2:35" x14ac:dyDescent="0.3">
      <c r="B23" s="12" t="s">
        <v>23</v>
      </c>
      <c r="C23" s="75">
        <v>71</v>
      </c>
      <c r="O23" s="31" t="s">
        <v>1133</v>
      </c>
      <c r="P23" s="75">
        <v>27</v>
      </c>
      <c r="R23" s="31" t="s">
        <v>1133</v>
      </c>
      <c r="S23" s="75">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6">
        <v>667</v>
      </c>
    </row>
    <row r="24" spans="2:35" x14ac:dyDescent="0.3">
      <c r="B24" s="12" t="s">
        <v>20</v>
      </c>
      <c r="C24" s="75">
        <v>58</v>
      </c>
      <c r="O24" s="31" t="s">
        <v>1134</v>
      </c>
      <c r="P24" s="75">
        <v>17</v>
      </c>
      <c r="R24" s="31" t="s">
        <v>1134</v>
      </c>
      <c r="S24" s="75">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75">
        <v>46</v>
      </c>
      <c r="O25" s="31" t="s">
        <v>1135</v>
      </c>
      <c r="P25" s="75">
        <v>19</v>
      </c>
      <c r="R25" s="31" t="s">
        <v>1135</v>
      </c>
      <c r="S25" s="75">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6">
        <v>43</v>
      </c>
      <c r="O26" s="12" t="s">
        <v>1128</v>
      </c>
      <c r="P26" s="75">
        <v>83</v>
      </c>
      <c r="R26" s="12" t="s">
        <v>1128</v>
      </c>
      <c r="S26" s="75">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75">
        <v>26</v>
      </c>
      <c r="R27" s="31" t="s">
        <v>1132</v>
      </c>
      <c r="S27" s="75">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75">
        <v>16</v>
      </c>
      <c r="R28" s="31" t="s">
        <v>1133</v>
      </c>
      <c r="S28" s="75">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75">
        <v>18</v>
      </c>
      <c r="R29" s="31" t="s">
        <v>1134</v>
      </c>
      <c r="S29" s="75">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75">
        <v>23</v>
      </c>
      <c r="R30" s="31" t="s">
        <v>1135</v>
      </c>
      <c r="S30" s="75">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75">
        <v>84</v>
      </c>
      <c r="R31" s="12" t="s">
        <v>1129</v>
      </c>
      <c r="S31" s="75">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75">
        <v>18</v>
      </c>
      <c r="R32" s="31" t="s">
        <v>1132</v>
      </c>
      <c r="S32" s="75">
        <v>13</v>
      </c>
      <c r="V32" s="33" t="s">
        <v>1163</v>
      </c>
      <c r="W32" s="34">
        <f>DATE(2024,12,31)</f>
        <v>45657</v>
      </c>
      <c r="X32" s="34">
        <f>DATE(2024,10,1)</f>
        <v>45566</v>
      </c>
      <c r="Y32" s="39">
        <f>COUNTIFS(EmployeeData[Join Date], "&lt;="&amp;W32, EmployeeData[Exit Date], "&gt;"&amp;W32) + COUNTIFS(EmployeeData[Join Date], "&lt;="&amp;W32, EmployeeData[Exit Date], "")</f>
        <v>712</v>
      </c>
      <c r="Z32">
        <f>COUNTIFS(EmployeeData[Exit Date], "&gt;="&amp;X32, EmployeeData[Exit Date], "&lt;="&amp;W32)</f>
        <v>21</v>
      </c>
      <c r="AA32">
        <f t="shared" si="1"/>
        <v>706.5</v>
      </c>
      <c r="AB32" s="35">
        <f t="shared" si="0"/>
        <v>2.9723991507430998E-2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75">
        <v>22</v>
      </c>
      <c r="R33" s="31" t="s">
        <v>1133</v>
      </c>
      <c r="S33" s="75">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31</v>
      </c>
      <c r="AA33" s="73">
        <f t="shared" si="1"/>
        <v>711</v>
      </c>
      <c r="AB33" s="74">
        <f t="shared" si="0"/>
        <v>4.360056258790436E-2</v>
      </c>
    </row>
    <row r="34" spans="2:28" x14ac:dyDescent="0.3">
      <c r="B34" s="29">
        <v>2021</v>
      </c>
      <c r="C34">
        <v>516</v>
      </c>
      <c r="D34">
        <v>24</v>
      </c>
      <c r="E34">
        <f t="shared" si="2"/>
        <v>492</v>
      </c>
      <c r="F34">
        <f t="shared" si="4"/>
        <v>437</v>
      </c>
      <c r="G34" s="65">
        <f t="shared" si="5"/>
        <v>0.2879581151832461</v>
      </c>
      <c r="H34" s="35">
        <f t="shared" si="3"/>
        <v>5.4919908466819219E-2</v>
      </c>
      <c r="O34" s="31" t="s">
        <v>1134</v>
      </c>
      <c r="P34" s="75">
        <v>22</v>
      </c>
      <c r="R34" s="31" t="s">
        <v>1134</v>
      </c>
      <c r="S34" s="75">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75">
        <v>22</v>
      </c>
      <c r="R35" s="31" t="s">
        <v>1135</v>
      </c>
      <c r="S35" s="75">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75">
        <v>71</v>
      </c>
      <c r="R36" s="12" t="s">
        <v>1130</v>
      </c>
      <c r="S36" s="75">
        <v>71</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75">
        <v>16</v>
      </c>
      <c r="R37" s="31" t="s">
        <v>1132</v>
      </c>
      <c r="S37" s="75">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75">
        <v>20</v>
      </c>
      <c r="R38" s="31" t="s">
        <v>1133</v>
      </c>
      <c r="S38" s="75">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75">
        <v>18</v>
      </c>
      <c r="R39" s="31" t="s">
        <v>1134</v>
      </c>
      <c r="S39" s="75">
        <v>16</v>
      </c>
    </row>
    <row r="40" spans="2:28" x14ac:dyDescent="0.3">
      <c r="O40" s="31" t="s">
        <v>1135</v>
      </c>
      <c r="P40" s="75">
        <v>17</v>
      </c>
      <c r="R40" s="31" t="s">
        <v>1135</v>
      </c>
      <c r="S40" s="75">
        <v>21</v>
      </c>
    </row>
    <row r="41" spans="2:28" x14ac:dyDescent="0.3">
      <c r="O41" s="12" t="s">
        <v>1131</v>
      </c>
      <c r="P41" s="75">
        <v>84</v>
      </c>
      <c r="R41" s="12" t="s">
        <v>1131</v>
      </c>
      <c r="S41" s="75">
        <v>116</v>
      </c>
    </row>
    <row r="42" spans="2:28" x14ac:dyDescent="0.3">
      <c r="O42" s="31" t="s">
        <v>1132</v>
      </c>
      <c r="P42" s="75">
        <v>21</v>
      </c>
      <c r="R42" s="31" t="s">
        <v>1132</v>
      </c>
      <c r="S42" s="75">
        <v>31</v>
      </c>
    </row>
    <row r="43" spans="2:28" x14ac:dyDescent="0.3">
      <c r="O43" s="31" t="s">
        <v>1133</v>
      </c>
      <c r="P43" s="75">
        <v>22</v>
      </c>
      <c r="R43" s="31" t="s">
        <v>1133</v>
      </c>
      <c r="S43" s="75">
        <v>26</v>
      </c>
    </row>
    <row r="44" spans="2:28" x14ac:dyDescent="0.3">
      <c r="O44" s="31" t="s">
        <v>1134</v>
      </c>
      <c r="P44" s="75">
        <v>23</v>
      </c>
      <c r="R44" s="31" t="s">
        <v>1134</v>
      </c>
      <c r="S44" s="75">
        <v>22</v>
      </c>
    </row>
    <row r="45" spans="2:28" x14ac:dyDescent="0.3">
      <c r="O45" s="31" t="s">
        <v>1135</v>
      </c>
      <c r="P45" s="75">
        <v>18</v>
      </c>
      <c r="R45" s="31" t="s">
        <v>1135</v>
      </c>
      <c r="S45" s="75">
        <v>37</v>
      </c>
    </row>
    <row r="46" spans="2:28" x14ac:dyDescent="0.3">
      <c r="O46" s="13" t="s">
        <v>1099</v>
      </c>
      <c r="P46" s="76">
        <v>667</v>
      </c>
      <c r="R46" s="12" t="s">
        <v>1190</v>
      </c>
      <c r="S46" s="75">
        <v>58</v>
      </c>
    </row>
    <row r="47" spans="2:28" x14ac:dyDescent="0.3">
      <c r="R47" s="31" t="s">
        <v>1132</v>
      </c>
      <c r="S47" s="75">
        <v>36</v>
      </c>
    </row>
    <row r="48" spans="2:28" x14ac:dyDescent="0.3">
      <c r="R48" s="31" t="s">
        <v>1133</v>
      </c>
      <c r="S48" s="75">
        <v>22</v>
      </c>
    </row>
    <row r="49" spans="18:19" x14ac:dyDescent="0.3">
      <c r="R49" s="31" t="s">
        <v>1134</v>
      </c>
      <c r="S49" s="75"/>
    </row>
    <row r="50" spans="18:19" x14ac:dyDescent="0.3">
      <c r="R50" s="31" t="s">
        <v>1135</v>
      </c>
      <c r="S50" s="75"/>
    </row>
    <row r="51" spans="18:19" x14ac:dyDescent="0.3">
      <c r="R51" s="13" t="s">
        <v>1099</v>
      </c>
      <c r="S51" s="76">
        <v>414</v>
      </c>
    </row>
  </sheetData>
  <conditionalFormatting sqref="H32:H39">
    <cfRule type="expression" dxfId="65" priority="1">
      <formula>H32&lt;H31</formula>
    </cfRule>
    <cfRule type="expression" dxfId="64"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workbookViewId="0">
      <selection activeCell="M17" sqref="M17"/>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t="s">
        <v>4</v>
      </c>
      <c r="F1" t="s">
        <v>1117</v>
      </c>
      <c r="G1" s="5" t="s">
        <v>5</v>
      </c>
      <c r="H1" s="5" t="s">
        <v>6</v>
      </c>
      <c r="I1" t="s">
        <v>7</v>
      </c>
      <c r="J1" t="s">
        <v>8</v>
      </c>
      <c r="K1" t="s">
        <v>1115</v>
      </c>
      <c r="L1" t="s">
        <v>1118</v>
      </c>
      <c r="Q1" s="8" t="s">
        <v>1116</v>
      </c>
    </row>
    <row r="2" spans="1:17" x14ac:dyDescent="0.3">
      <c r="A2">
        <v>1001</v>
      </c>
      <c r="B2" t="s">
        <v>564</v>
      </c>
      <c r="C2" t="s">
        <v>23</v>
      </c>
      <c r="D2" t="s">
        <v>16</v>
      </c>
      <c r="E2">
        <v>38</v>
      </c>
      <c r="F2" t="str" cm="1">
        <f t="array" ref="F2">_xlfn.IFS(EmployeeData[[#This Row],[Age]]&lt;30,"20s",EmployeeData[[#This Row],[Age]]&lt;40,"30s",EmployeeData[[#This Row],[Age]]&lt;50,"40s",EmployeeData[[#This Row],[Age]]&lt;60,"50s",EmployeeData[[#This Row],[Age]]&gt;=60,"60s")</f>
        <v>30s</v>
      </c>
      <c r="G2" s="5">
        <v>44104</v>
      </c>
      <c r="H2" s="5">
        <v>45702</v>
      </c>
      <c r="I2" t="s">
        <v>31</v>
      </c>
      <c r="J2" t="s">
        <v>13</v>
      </c>
      <c r="K2" cm="1">
        <f t="array" aca="1" ref="K2" ca="1">_xlfn.IFS(EmployeeData[[#This Row],[Status]]="Active",_xlfn.DAYS(TODAY(),EmployeeData[[#This Row],[Join Date]]),EmployeeData[[#This Row],[Status]]="Exited",_xlfn.DAYS(EmployeeData[[#This Row],[Exit Date]],EmployeeData[[#This Row],[Join Date]]))</f>
        <v>1598</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15 days</v>
      </c>
    </row>
    <row r="3" spans="1:17" x14ac:dyDescent="0.3">
      <c r="A3">
        <v>1002</v>
      </c>
      <c r="B3" t="s">
        <v>987</v>
      </c>
      <c r="C3" t="s">
        <v>15</v>
      </c>
      <c r="D3" t="s">
        <v>16</v>
      </c>
      <c r="E3">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239</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5" spans="1:17" x14ac:dyDescent="0.3">
      <c r="A5">
        <v>1004</v>
      </c>
      <c r="B5" t="s">
        <v>105</v>
      </c>
      <c r="C5" t="s">
        <v>15</v>
      </c>
      <c r="D5" t="s">
        <v>24</v>
      </c>
      <c r="E5">
        <v>43</v>
      </c>
      <c r="F5" t="str" cm="1">
        <f t="array" ref="F5">_xlfn.IFS(EmployeeData[[#This Row],[Age]]&lt;30,"20s",EmployeeData[[#This Row],[Age]]&lt;40,"30s",EmployeeData[[#This Row],[Age]]&lt;50,"40s",EmployeeData[[#This Row],[Age]]&lt;60,"50s",EmployeeData[[#This Row],[Age]]&gt;=60,"60s")</f>
        <v>40s</v>
      </c>
      <c r="G5" s="5">
        <v>44509</v>
      </c>
      <c r="I5" t="s">
        <v>17</v>
      </c>
      <c r="J5" t="s">
        <v>18</v>
      </c>
      <c r="K5" cm="1">
        <f t="array" aca="1" ref="K5" ca="1">_xlfn.IFS(EmployeeData[[#This Row],[Status]]="Active",_xlfn.DAYS(TODAY(),EmployeeData[[#This Row],[Join Date]]),EmployeeData[[#This Row],[Status]]="Exited",_xlfn.DAYS(EmployeeData[[#This Row],[Exit Date]],EmployeeData[[#This Row],[Join Date]]))</f>
        <v>1690</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17 days</v>
      </c>
    </row>
    <row r="6" spans="1:17" x14ac:dyDescent="0.3">
      <c r="A6">
        <v>1005</v>
      </c>
      <c r="B6" t="s">
        <v>652</v>
      </c>
      <c r="C6" t="s">
        <v>46</v>
      </c>
      <c r="D6" t="s">
        <v>24</v>
      </c>
      <c r="E6">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1898</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11 days</v>
      </c>
    </row>
    <row r="7" spans="1:17" x14ac:dyDescent="0.3">
      <c r="A7">
        <v>1006</v>
      </c>
      <c r="B7" t="s">
        <v>702</v>
      </c>
      <c r="C7" t="s">
        <v>15</v>
      </c>
      <c r="D7" t="s">
        <v>16</v>
      </c>
      <c r="E7">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2772</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3 days</v>
      </c>
    </row>
    <row r="8" spans="1:17" x14ac:dyDescent="0.3">
      <c r="A8">
        <v>1007</v>
      </c>
      <c r="B8" t="s">
        <v>344</v>
      </c>
      <c r="C8" t="s">
        <v>15</v>
      </c>
      <c r="D8" t="s">
        <v>24</v>
      </c>
      <c r="E8">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224</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12 days</v>
      </c>
    </row>
    <row r="9" spans="1:17" x14ac:dyDescent="0.3">
      <c r="A9">
        <v>1008</v>
      </c>
      <c r="B9" t="s">
        <v>213</v>
      </c>
      <c r="C9" t="s">
        <v>23</v>
      </c>
      <c r="D9" t="s">
        <v>16</v>
      </c>
      <c r="E9">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2200</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9 days</v>
      </c>
    </row>
    <row r="13" spans="1:17" x14ac:dyDescent="0.3">
      <c r="A13">
        <v>1012</v>
      </c>
      <c r="B13" t="s">
        <v>1068</v>
      </c>
      <c r="C13" t="s">
        <v>33</v>
      </c>
      <c r="D13" t="s">
        <v>16</v>
      </c>
      <c r="E13">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311</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7 days</v>
      </c>
    </row>
    <row r="14" spans="1:17" x14ac:dyDescent="0.3">
      <c r="A14">
        <v>1013</v>
      </c>
      <c r="B14" t="s">
        <v>633</v>
      </c>
      <c r="C14" t="s">
        <v>23</v>
      </c>
      <c r="D14" t="s">
        <v>11</v>
      </c>
      <c r="E14">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312</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15" spans="1:17" x14ac:dyDescent="0.3">
      <c r="A15">
        <v>1014</v>
      </c>
      <c r="B15" t="s">
        <v>1024</v>
      </c>
      <c r="C15" t="s">
        <v>10</v>
      </c>
      <c r="D15" t="s">
        <v>16</v>
      </c>
      <c r="E1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1612</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0 days</v>
      </c>
    </row>
    <row r="18" spans="1:17" x14ac:dyDescent="0.3">
      <c r="A18">
        <v>1017</v>
      </c>
      <c r="B18" t="s">
        <v>944</v>
      </c>
      <c r="C18" t="s">
        <v>15</v>
      </c>
      <c r="D18" t="s">
        <v>24</v>
      </c>
      <c r="E18">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917</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4 days</v>
      </c>
    </row>
    <row r="19" spans="1:17" x14ac:dyDescent="0.3">
      <c r="A19">
        <v>1018</v>
      </c>
      <c r="B19" t="s">
        <v>244</v>
      </c>
      <c r="C19" t="s">
        <v>10</v>
      </c>
      <c r="D19" t="s">
        <v>11</v>
      </c>
      <c r="E19">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2231</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9 days</v>
      </c>
    </row>
    <row r="20" spans="1:17" x14ac:dyDescent="0.3">
      <c r="A20">
        <v>1019</v>
      </c>
      <c r="B20" t="s">
        <v>275</v>
      </c>
      <c r="C20" t="s">
        <v>10</v>
      </c>
      <c r="D20" t="s">
        <v>24</v>
      </c>
      <c r="E20">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2822</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22 days</v>
      </c>
    </row>
    <row r="22" spans="1:17" x14ac:dyDescent="0.3">
      <c r="A22">
        <v>1021</v>
      </c>
      <c r="B22" t="s">
        <v>190</v>
      </c>
      <c r="C22" t="s">
        <v>20</v>
      </c>
      <c r="D22" t="s">
        <v>16</v>
      </c>
      <c r="E22">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760</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30 days</v>
      </c>
    </row>
    <row r="23" spans="1:17" x14ac:dyDescent="0.3">
      <c r="A23">
        <v>1022</v>
      </c>
      <c r="B23" t="s">
        <v>1002</v>
      </c>
      <c r="C23" t="s">
        <v>15</v>
      </c>
      <c r="D23" t="s">
        <v>16</v>
      </c>
      <c r="E23">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1647</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4 days</v>
      </c>
    </row>
    <row r="24" spans="1:17" x14ac:dyDescent="0.3">
      <c r="A24">
        <v>1023</v>
      </c>
      <c r="B24" t="s">
        <v>116</v>
      </c>
      <c r="C24" t="s">
        <v>15</v>
      </c>
      <c r="D24" t="s">
        <v>11</v>
      </c>
      <c r="E24">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2090</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21 days</v>
      </c>
    </row>
    <row r="30" spans="1:17" x14ac:dyDescent="0.3">
      <c r="A30">
        <v>1029</v>
      </c>
      <c r="B30" t="s">
        <v>362</v>
      </c>
      <c r="C30" t="s">
        <v>46</v>
      </c>
      <c r="D30" t="s">
        <v>16</v>
      </c>
      <c r="E30">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1304</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27 days</v>
      </c>
    </row>
    <row r="33" spans="1:17" x14ac:dyDescent="0.3">
      <c r="A33">
        <v>1032</v>
      </c>
      <c r="B33" t="s">
        <v>974</v>
      </c>
      <c r="C33" t="s">
        <v>33</v>
      </c>
      <c r="D33" t="s">
        <v>24</v>
      </c>
      <c r="E33">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1872</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34" spans="1:17" x14ac:dyDescent="0.3">
      <c r="A34">
        <v>1033</v>
      </c>
      <c r="B34" t="s">
        <v>305</v>
      </c>
      <c r="C34" t="s">
        <v>20</v>
      </c>
      <c r="D34" t="s">
        <v>16</v>
      </c>
      <c r="E34">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2129</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30 days</v>
      </c>
    </row>
    <row r="39" spans="1:17" x14ac:dyDescent="0.3">
      <c r="A39">
        <v>1038</v>
      </c>
      <c r="B39" t="s">
        <v>488</v>
      </c>
      <c r="C39" t="s">
        <v>33</v>
      </c>
      <c r="D39" t="s">
        <v>24</v>
      </c>
      <c r="E39">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315</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42" spans="1:17" x14ac:dyDescent="0.3">
      <c r="A42">
        <v>1041</v>
      </c>
      <c r="B42" t="s">
        <v>299</v>
      </c>
      <c r="C42" t="s">
        <v>15</v>
      </c>
      <c r="D42" t="s">
        <v>11</v>
      </c>
      <c r="E42">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720</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43" spans="1:17" x14ac:dyDescent="0.3">
      <c r="A43">
        <v>1042</v>
      </c>
      <c r="B43" t="s">
        <v>1043</v>
      </c>
      <c r="C43" t="s">
        <v>10</v>
      </c>
      <c r="D43" t="s">
        <v>11</v>
      </c>
      <c r="E43">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615</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7 days</v>
      </c>
    </row>
    <row r="44" spans="1:17" x14ac:dyDescent="0.3">
      <c r="A44">
        <v>1043</v>
      </c>
      <c r="B44" t="s">
        <v>102</v>
      </c>
      <c r="C44" t="s">
        <v>15</v>
      </c>
      <c r="D44" t="s">
        <v>16</v>
      </c>
      <c r="E44">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3092</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19 days</v>
      </c>
    </row>
    <row r="45" spans="1:17" x14ac:dyDescent="0.3">
      <c r="A45">
        <v>1044</v>
      </c>
      <c r="B45" t="s">
        <v>697</v>
      </c>
      <c r="C45" t="s">
        <v>20</v>
      </c>
      <c r="D45" t="s">
        <v>24</v>
      </c>
      <c r="E4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1450</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19 days</v>
      </c>
    </row>
    <row r="47" spans="1:17" x14ac:dyDescent="0.3">
      <c r="A47">
        <v>1046</v>
      </c>
      <c r="B47" t="s">
        <v>1048</v>
      </c>
      <c r="C47" t="s">
        <v>20</v>
      </c>
      <c r="D47" t="s">
        <v>11</v>
      </c>
      <c r="E47">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1866</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9 days</v>
      </c>
    </row>
    <row r="48" spans="1:17" x14ac:dyDescent="0.3">
      <c r="A48">
        <v>1047</v>
      </c>
      <c r="B48" t="s">
        <v>238</v>
      </c>
      <c r="C48" t="s">
        <v>33</v>
      </c>
      <c r="D48" t="s">
        <v>24</v>
      </c>
      <c r="E48">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1194</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49" spans="1:17" x14ac:dyDescent="0.3">
      <c r="A49">
        <v>1048</v>
      </c>
      <c r="B49" t="s">
        <v>1083</v>
      </c>
      <c r="C49" t="s">
        <v>20</v>
      </c>
      <c r="D49" t="s">
        <v>16</v>
      </c>
      <c r="E49">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2716</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50" spans="1:17" x14ac:dyDescent="0.3">
      <c r="A50">
        <v>1049</v>
      </c>
      <c r="B50" t="s">
        <v>187</v>
      </c>
      <c r="C50" t="s">
        <v>15</v>
      </c>
      <c r="D50" t="s">
        <v>16</v>
      </c>
      <c r="E50">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595</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51" spans="1:17" x14ac:dyDescent="0.3">
      <c r="A51">
        <v>1050</v>
      </c>
      <c r="B51" t="s">
        <v>480</v>
      </c>
      <c r="C51" t="s">
        <v>20</v>
      </c>
      <c r="D51" t="s">
        <v>24</v>
      </c>
      <c r="E51">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1351</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12 days</v>
      </c>
    </row>
    <row r="54" spans="1:17" x14ac:dyDescent="0.3">
      <c r="A54">
        <v>1053</v>
      </c>
      <c r="B54" t="s">
        <v>438</v>
      </c>
      <c r="C54" t="s">
        <v>20</v>
      </c>
      <c r="D54" t="s">
        <v>24</v>
      </c>
      <c r="E54">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2086</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17 days</v>
      </c>
    </row>
    <row r="55" spans="1:17" x14ac:dyDescent="0.3">
      <c r="A55">
        <v>1054</v>
      </c>
      <c r="B55" t="s">
        <v>81</v>
      </c>
      <c r="C55" t="s">
        <v>10</v>
      </c>
      <c r="D55" t="s">
        <v>16</v>
      </c>
      <c r="E5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1399</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30 days</v>
      </c>
    </row>
    <row r="57" spans="1:17" x14ac:dyDescent="0.3">
      <c r="A57">
        <v>1056</v>
      </c>
      <c r="B57" t="s">
        <v>1095</v>
      </c>
      <c r="C57" t="s">
        <v>33</v>
      </c>
      <c r="D57" t="s">
        <v>24</v>
      </c>
      <c r="E57">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894</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12 days</v>
      </c>
    </row>
    <row r="59" spans="1:17" x14ac:dyDescent="0.3">
      <c r="A59">
        <v>1058</v>
      </c>
      <c r="B59" t="s">
        <v>175</v>
      </c>
      <c r="C59" t="s">
        <v>23</v>
      </c>
      <c r="D59" t="s">
        <v>16</v>
      </c>
      <c r="E59">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2980</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28 days</v>
      </c>
    </row>
    <row r="60" spans="1:17" x14ac:dyDescent="0.3">
      <c r="A60">
        <v>1059</v>
      </c>
      <c r="B60" t="s">
        <v>803</v>
      </c>
      <c r="C60" t="s">
        <v>46</v>
      </c>
      <c r="D60" t="s">
        <v>11</v>
      </c>
      <c r="E60">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2988</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5 days</v>
      </c>
    </row>
    <row r="61" spans="1:17" x14ac:dyDescent="0.3">
      <c r="A61">
        <v>1060</v>
      </c>
      <c r="B61" t="s">
        <v>1092</v>
      </c>
      <c r="C61" t="s">
        <v>15</v>
      </c>
      <c r="D61" t="s">
        <v>24</v>
      </c>
      <c r="E61">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2065</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27 days</v>
      </c>
    </row>
    <row r="63" spans="1:17" x14ac:dyDescent="0.3">
      <c r="A63">
        <v>1062</v>
      </c>
      <c r="B63" t="s">
        <v>525</v>
      </c>
      <c r="C63" t="s">
        <v>15</v>
      </c>
      <c r="D63" t="s">
        <v>11</v>
      </c>
      <c r="E63">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2656</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7 days</v>
      </c>
    </row>
    <row r="66" spans="1:17" x14ac:dyDescent="0.3">
      <c r="A66">
        <v>1065</v>
      </c>
      <c r="B66" t="s">
        <v>245</v>
      </c>
      <c r="C66" t="s">
        <v>46</v>
      </c>
      <c r="D66" t="s">
        <v>24</v>
      </c>
      <c r="E66">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2787</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18 days</v>
      </c>
    </row>
    <row r="67" spans="1:17" x14ac:dyDescent="0.3">
      <c r="A67">
        <v>1066</v>
      </c>
      <c r="B67" t="s">
        <v>100</v>
      </c>
      <c r="C67" t="s">
        <v>10</v>
      </c>
      <c r="D67" t="s">
        <v>11</v>
      </c>
      <c r="E67">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780</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19 days</v>
      </c>
    </row>
    <row r="68" spans="1:17" x14ac:dyDescent="0.3">
      <c r="A68">
        <v>1067</v>
      </c>
      <c r="B68" t="s">
        <v>947</v>
      </c>
      <c r="C68" t="s">
        <v>15</v>
      </c>
      <c r="D68" t="s">
        <v>24</v>
      </c>
      <c r="E68">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1378</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9 days</v>
      </c>
    </row>
    <row r="69" spans="1:17" x14ac:dyDescent="0.3">
      <c r="A69">
        <v>1068</v>
      </c>
      <c r="B69" t="s">
        <v>834</v>
      </c>
      <c r="C69" t="s">
        <v>23</v>
      </c>
      <c r="D69" t="s">
        <v>11</v>
      </c>
      <c r="E69">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1263</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16 days</v>
      </c>
    </row>
    <row r="74" spans="1:17" x14ac:dyDescent="0.3">
      <c r="A74">
        <v>1073</v>
      </c>
      <c r="B74" t="s">
        <v>301</v>
      </c>
      <c r="C74" t="s">
        <v>10</v>
      </c>
      <c r="D74" t="s">
        <v>24</v>
      </c>
      <c r="E74">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831</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9 days</v>
      </c>
    </row>
    <row r="75" spans="1:17" x14ac:dyDescent="0.3">
      <c r="A75">
        <v>1074</v>
      </c>
      <c r="B75" t="s">
        <v>1078</v>
      </c>
      <c r="C75" t="s">
        <v>20</v>
      </c>
      <c r="D75" t="s">
        <v>16</v>
      </c>
      <c r="E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2912</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20 days</v>
      </c>
    </row>
    <row r="78" spans="1:17" x14ac:dyDescent="0.3">
      <c r="A78">
        <v>1077</v>
      </c>
      <c r="B78" t="s">
        <v>862</v>
      </c>
      <c r="C78" t="s">
        <v>15</v>
      </c>
      <c r="D78" t="s">
        <v>11</v>
      </c>
      <c r="E78">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2678</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 days</v>
      </c>
    </row>
    <row r="79" spans="1:17" x14ac:dyDescent="0.3">
      <c r="A79">
        <v>1078</v>
      </c>
      <c r="B79" t="s">
        <v>254</v>
      </c>
      <c r="C79" t="s">
        <v>10</v>
      </c>
      <c r="D79" t="s">
        <v>11</v>
      </c>
      <c r="E79">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1881</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82" spans="1:17" x14ac:dyDescent="0.3">
      <c r="A82">
        <v>1081</v>
      </c>
      <c r="B82" t="s">
        <v>406</v>
      </c>
      <c r="C82" t="s">
        <v>23</v>
      </c>
      <c r="D82" t="s">
        <v>11</v>
      </c>
      <c r="E82">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390</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25 days</v>
      </c>
    </row>
    <row r="85" spans="1:17" x14ac:dyDescent="0.3">
      <c r="A85">
        <v>1084</v>
      </c>
      <c r="B85" t="s">
        <v>635</v>
      </c>
      <c r="C85" t="s">
        <v>20</v>
      </c>
      <c r="D85" t="s">
        <v>11</v>
      </c>
      <c r="E8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1049</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14 days</v>
      </c>
    </row>
    <row r="87" spans="1:17" x14ac:dyDescent="0.3">
      <c r="A87">
        <v>1086</v>
      </c>
      <c r="B87" t="s">
        <v>770</v>
      </c>
      <c r="C87" t="s">
        <v>20</v>
      </c>
      <c r="D87" t="s">
        <v>24</v>
      </c>
      <c r="E87">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2355</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12 days</v>
      </c>
    </row>
    <row r="89" spans="1:17" x14ac:dyDescent="0.3">
      <c r="A89">
        <v>1088</v>
      </c>
      <c r="B89" t="s">
        <v>676</v>
      </c>
      <c r="C89" t="s">
        <v>46</v>
      </c>
      <c r="D89" t="s">
        <v>24</v>
      </c>
      <c r="E89">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2948</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26 days</v>
      </c>
    </row>
    <row r="91" spans="1:17" x14ac:dyDescent="0.3">
      <c r="A91">
        <v>1090</v>
      </c>
      <c r="B91" t="s">
        <v>599</v>
      </c>
      <c r="C91" t="s">
        <v>33</v>
      </c>
      <c r="D91" t="s">
        <v>11</v>
      </c>
      <c r="E91">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405</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92" spans="1:17" x14ac:dyDescent="0.3">
      <c r="A92">
        <v>1091</v>
      </c>
      <c r="B92" t="s">
        <v>882</v>
      </c>
      <c r="C92" t="s">
        <v>23</v>
      </c>
      <c r="D92" t="s">
        <v>24</v>
      </c>
      <c r="E92">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445</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19 days</v>
      </c>
    </row>
    <row r="95" spans="1:17" x14ac:dyDescent="0.3">
      <c r="A95">
        <v>1094</v>
      </c>
      <c r="B95" t="s">
        <v>684</v>
      </c>
      <c r="C95" t="s">
        <v>10</v>
      </c>
      <c r="D95" t="s">
        <v>24</v>
      </c>
      <c r="E9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2100</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 days</v>
      </c>
    </row>
    <row r="96" spans="1:17" x14ac:dyDescent="0.3">
      <c r="A96">
        <v>1095</v>
      </c>
      <c r="B96" t="s">
        <v>712</v>
      </c>
      <c r="C96" t="s">
        <v>33</v>
      </c>
      <c r="D96" t="s">
        <v>16</v>
      </c>
      <c r="E96">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1706</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 days</v>
      </c>
    </row>
    <row r="97" spans="1:17" x14ac:dyDescent="0.3">
      <c r="A97">
        <v>1096</v>
      </c>
      <c r="B97" t="s">
        <v>950</v>
      </c>
      <c r="C97" t="s">
        <v>10</v>
      </c>
      <c r="D97" t="s">
        <v>16</v>
      </c>
      <c r="E97">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723</v>
      </c>
      <c r="L97" cm="1">
        <f t="array" aca="1" ref="L97" ca="1">_xlfn.IFS(EmployeeData[[#This Row],[Status]]="Exited",DATEDIF(EmployeeData[[#This Row],[Join Date]], EmployeeData[[#This Row],[Exit Date]], "Y"),EmployeeData[[#This Row],[Status]]="Active",DATEDIF(EmployeeData[[#This Row],[Join Date]], TODAY(), "Y"))</f>
        <v>1</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98" spans="1:17" x14ac:dyDescent="0.3">
      <c r="A98">
        <v>1097</v>
      </c>
      <c r="B98" t="s">
        <v>775</v>
      </c>
      <c r="C98" t="s">
        <v>10</v>
      </c>
      <c r="D98" t="s">
        <v>24</v>
      </c>
      <c r="E98">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1553</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0 days</v>
      </c>
    </row>
    <row r="99" spans="1:17" x14ac:dyDescent="0.3">
      <c r="A99">
        <v>1098</v>
      </c>
      <c r="B99" t="s">
        <v>891</v>
      </c>
      <c r="C99" t="s">
        <v>15</v>
      </c>
      <c r="D99" t="s">
        <v>24</v>
      </c>
      <c r="E99">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1070</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4 days</v>
      </c>
    </row>
    <row r="101" spans="1:17" x14ac:dyDescent="0.3">
      <c r="A101">
        <v>1100</v>
      </c>
      <c r="B101" t="s">
        <v>469</v>
      </c>
      <c r="C101" t="s">
        <v>10</v>
      </c>
      <c r="D101" t="s">
        <v>16</v>
      </c>
      <c r="E101">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2690</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13 days</v>
      </c>
    </row>
    <row r="102" spans="1:17" x14ac:dyDescent="0.3">
      <c r="A102">
        <v>1101</v>
      </c>
      <c r="B102" t="s">
        <v>285</v>
      </c>
      <c r="C102" t="s">
        <v>10</v>
      </c>
      <c r="D102" t="s">
        <v>24</v>
      </c>
      <c r="E102">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2792</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103" spans="1:17" x14ac:dyDescent="0.3">
      <c r="A103">
        <v>1102</v>
      </c>
      <c r="B103" t="s">
        <v>425</v>
      </c>
      <c r="C103" t="s">
        <v>10</v>
      </c>
      <c r="D103" t="s">
        <v>16</v>
      </c>
      <c r="E103">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336</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104" spans="1:17" x14ac:dyDescent="0.3">
      <c r="A104">
        <v>1103</v>
      </c>
      <c r="B104" t="s">
        <v>197</v>
      </c>
      <c r="C104" t="s">
        <v>33</v>
      </c>
      <c r="D104" t="s">
        <v>24</v>
      </c>
      <c r="E104">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2951</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29 days</v>
      </c>
    </row>
    <row r="105" spans="1:17" x14ac:dyDescent="0.3">
      <c r="A105">
        <v>1104</v>
      </c>
      <c r="B105" t="s">
        <v>637</v>
      </c>
      <c r="C105" t="s">
        <v>10</v>
      </c>
      <c r="D105" t="s">
        <v>16</v>
      </c>
      <c r="E10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1321</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13 days</v>
      </c>
    </row>
    <row r="106" spans="1:17" x14ac:dyDescent="0.3">
      <c r="A106">
        <v>1105</v>
      </c>
      <c r="B106" t="s">
        <v>1054</v>
      </c>
      <c r="C106" t="s">
        <v>46</v>
      </c>
      <c r="D106" t="s">
        <v>16</v>
      </c>
      <c r="E106">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560</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108" spans="1:17" x14ac:dyDescent="0.3">
      <c r="A108">
        <v>1107</v>
      </c>
      <c r="B108" t="s">
        <v>849</v>
      </c>
      <c r="C108" t="s">
        <v>23</v>
      </c>
      <c r="D108" t="s">
        <v>24</v>
      </c>
      <c r="E108">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1193</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5 days</v>
      </c>
    </row>
    <row r="109" spans="1:17" x14ac:dyDescent="0.3">
      <c r="A109">
        <v>1108</v>
      </c>
      <c r="B109" t="s">
        <v>94</v>
      </c>
      <c r="C109" t="s">
        <v>46</v>
      </c>
      <c r="D109" t="s">
        <v>16</v>
      </c>
      <c r="E109">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3009</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26 days</v>
      </c>
    </row>
    <row r="111" spans="1:17" x14ac:dyDescent="0.3">
      <c r="A111">
        <v>1110</v>
      </c>
      <c r="B111" t="s">
        <v>218</v>
      </c>
      <c r="C111" t="s">
        <v>46</v>
      </c>
      <c r="D111" t="s">
        <v>11</v>
      </c>
      <c r="E111">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2156</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26 days</v>
      </c>
    </row>
    <row r="112" spans="1:17" x14ac:dyDescent="0.3">
      <c r="A112">
        <v>1111</v>
      </c>
      <c r="B112" t="s">
        <v>868</v>
      </c>
      <c r="C112" t="s">
        <v>23</v>
      </c>
      <c r="D112" t="s">
        <v>24</v>
      </c>
      <c r="E112">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1760</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26 days</v>
      </c>
    </row>
    <row r="114" spans="1:17" x14ac:dyDescent="0.3">
      <c r="A114">
        <v>1113</v>
      </c>
      <c r="B114" t="s">
        <v>557</v>
      </c>
      <c r="C114" t="s">
        <v>23</v>
      </c>
      <c r="D114" t="s">
        <v>11</v>
      </c>
      <c r="E114">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2046</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8 days</v>
      </c>
    </row>
    <row r="115" spans="1:17" x14ac:dyDescent="0.3">
      <c r="A115">
        <v>1114</v>
      </c>
      <c r="B115" t="s">
        <v>233</v>
      </c>
      <c r="C115" t="s">
        <v>10</v>
      </c>
      <c r="D115" t="s">
        <v>16</v>
      </c>
      <c r="E11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2522</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26 days</v>
      </c>
    </row>
    <row r="116" spans="1:17" x14ac:dyDescent="0.3">
      <c r="A116">
        <v>1115</v>
      </c>
      <c r="B116" t="s">
        <v>1069</v>
      </c>
      <c r="C116" t="s">
        <v>46</v>
      </c>
      <c r="D116" t="s">
        <v>11</v>
      </c>
      <c r="E116">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2655</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6 days</v>
      </c>
    </row>
    <row r="118" spans="1:17" x14ac:dyDescent="0.3">
      <c r="A118">
        <v>1117</v>
      </c>
      <c r="B118" t="s">
        <v>893</v>
      </c>
      <c r="C118" t="s">
        <v>46</v>
      </c>
      <c r="D118" t="s">
        <v>24</v>
      </c>
      <c r="E118">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2466</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 days</v>
      </c>
    </row>
    <row r="121" spans="1:17" x14ac:dyDescent="0.3">
      <c r="A121">
        <v>1120</v>
      </c>
      <c r="B121" t="s">
        <v>404</v>
      </c>
      <c r="C121" t="s">
        <v>46</v>
      </c>
      <c r="D121" t="s">
        <v>16</v>
      </c>
      <c r="E121">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2209</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18 days</v>
      </c>
    </row>
    <row r="122" spans="1:17" x14ac:dyDescent="0.3">
      <c r="A122">
        <v>1121</v>
      </c>
      <c r="B122" t="s">
        <v>926</v>
      </c>
      <c r="C122" t="s">
        <v>23</v>
      </c>
      <c r="D122" t="s">
        <v>11</v>
      </c>
      <c r="E122">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2850</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20 days</v>
      </c>
    </row>
    <row r="123" spans="1:17" x14ac:dyDescent="0.3">
      <c r="A123">
        <v>1122</v>
      </c>
      <c r="B123" t="s">
        <v>777</v>
      </c>
      <c r="C123" t="s">
        <v>33</v>
      </c>
      <c r="D123" t="s">
        <v>16</v>
      </c>
      <c r="E123">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470</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13 days</v>
      </c>
    </row>
    <row r="124" spans="1:17" x14ac:dyDescent="0.3">
      <c r="A124">
        <v>1123</v>
      </c>
      <c r="B124" t="s">
        <v>1009</v>
      </c>
      <c r="C124" t="s">
        <v>10</v>
      </c>
      <c r="D124" t="s">
        <v>16</v>
      </c>
      <c r="E124">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2506</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10 days</v>
      </c>
    </row>
    <row r="126" spans="1:17" x14ac:dyDescent="0.3">
      <c r="A126">
        <v>1125</v>
      </c>
      <c r="B126" t="s">
        <v>273</v>
      </c>
      <c r="C126" t="s">
        <v>15</v>
      </c>
      <c r="D126" t="s">
        <v>11</v>
      </c>
      <c r="E126">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1148</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128" spans="1:17" x14ac:dyDescent="0.3">
      <c r="A128">
        <v>1127</v>
      </c>
      <c r="B128" t="s">
        <v>242</v>
      </c>
      <c r="C128" t="s">
        <v>23</v>
      </c>
      <c r="D128" t="s">
        <v>11</v>
      </c>
      <c r="E128">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400</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4 days</v>
      </c>
    </row>
    <row r="129" spans="1:17" x14ac:dyDescent="0.3">
      <c r="A129">
        <v>1128</v>
      </c>
      <c r="B129" t="s">
        <v>424</v>
      </c>
      <c r="C129" t="s">
        <v>15</v>
      </c>
      <c r="D129" t="s">
        <v>24</v>
      </c>
      <c r="E129">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1352</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13 days</v>
      </c>
    </row>
    <row r="130" spans="1:17" x14ac:dyDescent="0.3">
      <c r="A130">
        <v>1129</v>
      </c>
      <c r="B130" t="s">
        <v>875</v>
      </c>
      <c r="C130" t="s">
        <v>15</v>
      </c>
      <c r="D130" t="s">
        <v>16</v>
      </c>
      <c r="E130">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2218</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132" spans="1:17" x14ac:dyDescent="0.3">
      <c r="A132">
        <v>1131</v>
      </c>
      <c r="B132" t="s">
        <v>838</v>
      </c>
      <c r="C132" t="s">
        <v>10</v>
      </c>
      <c r="D132" t="s">
        <v>11</v>
      </c>
      <c r="E132">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2888</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27 days</v>
      </c>
    </row>
    <row r="135" spans="1:17" x14ac:dyDescent="0.3">
      <c r="A135">
        <v>1134</v>
      </c>
      <c r="B135" t="s">
        <v>973</v>
      </c>
      <c r="C135" t="s">
        <v>15</v>
      </c>
      <c r="D135" t="s">
        <v>24</v>
      </c>
      <c r="E13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1664</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21 days</v>
      </c>
    </row>
    <row r="136" spans="1:17" x14ac:dyDescent="0.3">
      <c r="A136">
        <v>1135</v>
      </c>
      <c r="B136" t="s">
        <v>389</v>
      </c>
      <c r="C136" t="s">
        <v>23</v>
      </c>
      <c r="D136" t="s">
        <v>11</v>
      </c>
      <c r="E136">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552</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5 days</v>
      </c>
    </row>
    <row r="137" spans="1:17" x14ac:dyDescent="0.3">
      <c r="A137">
        <v>1136</v>
      </c>
      <c r="B137" t="s">
        <v>490</v>
      </c>
      <c r="C137" t="s">
        <v>20</v>
      </c>
      <c r="D137" t="s">
        <v>11</v>
      </c>
      <c r="E137">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505</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20 days</v>
      </c>
    </row>
    <row r="139" spans="1:17" x14ac:dyDescent="0.3">
      <c r="A139">
        <v>1138</v>
      </c>
      <c r="B139" t="s">
        <v>622</v>
      </c>
      <c r="C139" t="s">
        <v>10</v>
      </c>
      <c r="D139" t="s">
        <v>24</v>
      </c>
      <c r="E139">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1822</v>
      </c>
      <c r="L139" cm="1">
        <f t="array" aca="1" ref="L139" ca="1">_xlfn.IFS(EmployeeData[[#This Row],[Status]]="Exited",DATEDIF(EmployeeData[[#This Row],[Join Date]], EmployeeData[[#This Row],[Exit Date]], "Y"),EmployeeData[[#This Row],[Status]]="Active",DATEDIF(EmployeeData[[#This Row],[Join Date]], TODAY(), "Y"))</f>
        <v>4</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27 days</v>
      </c>
    </row>
    <row r="140" spans="1:17" x14ac:dyDescent="0.3">
      <c r="A140">
        <v>1139</v>
      </c>
      <c r="B140" t="s">
        <v>293</v>
      </c>
      <c r="C140" t="s">
        <v>15</v>
      </c>
      <c r="D140" t="s">
        <v>11</v>
      </c>
      <c r="E140">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2536</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9 days</v>
      </c>
    </row>
    <row r="143" spans="1:17" x14ac:dyDescent="0.3">
      <c r="A143">
        <v>1142</v>
      </c>
      <c r="B143" t="s">
        <v>644</v>
      </c>
      <c r="C143" t="s">
        <v>20</v>
      </c>
      <c r="D143" t="s">
        <v>16</v>
      </c>
      <c r="E143">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917</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4 days</v>
      </c>
    </row>
    <row r="144" spans="1:17" x14ac:dyDescent="0.3">
      <c r="A144">
        <v>1143</v>
      </c>
      <c r="B144" t="s">
        <v>650</v>
      </c>
      <c r="C144" t="s">
        <v>20</v>
      </c>
      <c r="D144" t="s">
        <v>16</v>
      </c>
      <c r="E144">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2395</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146" spans="1:17" x14ac:dyDescent="0.3">
      <c r="A146">
        <v>1145</v>
      </c>
      <c r="B146" t="s">
        <v>158</v>
      </c>
      <c r="C146" t="s">
        <v>15</v>
      </c>
      <c r="D146" t="s">
        <v>11</v>
      </c>
      <c r="E146">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1314</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6 days</v>
      </c>
    </row>
    <row r="147" spans="1:17" x14ac:dyDescent="0.3">
      <c r="A147">
        <v>1146</v>
      </c>
      <c r="B147" t="s">
        <v>873</v>
      </c>
      <c r="C147" t="s">
        <v>20</v>
      </c>
      <c r="D147" t="s">
        <v>16</v>
      </c>
      <c r="E147">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2786</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17 days</v>
      </c>
    </row>
    <row r="148" spans="1:17" x14ac:dyDescent="0.3">
      <c r="A148">
        <v>1147</v>
      </c>
      <c r="B148" t="s">
        <v>512</v>
      </c>
      <c r="C148" t="s">
        <v>10</v>
      </c>
      <c r="D148" t="s">
        <v>11</v>
      </c>
      <c r="E148">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1198</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150" spans="1:17" x14ac:dyDescent="0.3">
      <c r="A150">
        <v>1149</v>
      </c>
      <c r="B150" t="s">
        <v>724</v>
      </c>
      <c r="C150" t="s">
        <v>23</v>
      </c>
      <c r="D150" t="s">
        <v>24</v>
      </c>
      <c r="E150">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1827</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 days</v>
      </c>
    </row>
    <row r="152" spans="1:17" x14ac:dyDescent="0.3">
      <c r="A152">
        <v>1151</v>
      </c>
      <c r="B152" t="s">
        <v>844</v>
      </c>
      <c r="C152" t="s">
        <v>15</v>
      </c>
      <c r="D152" t="s">
        <v>11</v>
      </c>
      <c r="E152">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579</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 days</v>
      </c>
    </row>
    <row r="153" spans="1:17" x14ac:dyDescent="0.3">
      <c r="A153">
        <v>1152</v>
      </c>
      <c r="B153" t="s">
        <v>964</v>
      </c>
      <c r="C153" t="s">
        <v>10</v>
      </c>
      <c r="D153" t="s">
        <v>11</v>
      </c>
      <c r="E153">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1782</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17 days</v>
      </c>
    </row>
    <row r="154" spans="1:17" x14ac:dyDescent="0.3">
      <c r="A154">
        <v>1153</v>
      </c>
      <c r="B154" t="s">
        <v>217</v>
      </c>
      <c r="C154" t="s">
        <v>10</v>
      </c>
      <c r="D154" t="s">
        <v>11</v>
      </c>
      <c r="E154">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2753</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14 days</v>
      </c>
    </row>
    <row r="155" spans="1:17" x14ac:dyDescent="0.3">
      <c r="A155">
        <v>1154</v>
      </c>
      <c r="B155" t="s">
        <v>225</v>
      </c>
      <c r="C155" t="s">
        <v>46</v>
      </c>
      <c r="D155" t="s">
        <v>24</v>
      </c>
      <c r="E15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2570</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13 days</v>
      </c>
    </row>
    <row r="158" spans="1:17" x14ac:dyDescent="0.3">
      <c r="A158">
        <v>1157</v>
      </c>
      <c r="B158" t="s">
        <v>778</v>
      </c>
      <c r="C158" t="s">
        <v>33</v>
      </c>
      <c r="D158" t="s">
        <v>24</v>
      </c>
      <c r="E158">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2716</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159" spans="1:17" x14ac:dyDescent="0.3">
      <c r="A159">
        <v>1158</v>
      </c>
      <c r="B159" t="s">
        <v>1011</v>
      </c>
      <c r="C159" t="s">
        <v>10</v>
      </c>
      <c r="D159" t="s">
        <v>11</v>
      </c>
      <c r="E159">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1279</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 days</v>
      </c>
    </row>
    <row r="162" spans="1:17" x14ac:dyDescent="0.3">
      <c r="A162">
        <v>1161</v>
      </c>
      <c r="B162" t="s">
        <v>433</v>
      </c>
      <c r="C162" t="s">
        <v>46</v>
      </c>
      <c r="D162" t="s">
        <v>11</v>
      </c>
      <c r="E162">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1592</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11 days</v>
      </c>
    </row>
    <row r="163" spans="1:17" x14ac:dyDescent="0.3">
      <c r="A163">
        <v>1162</v>
      </c>
      <c r="B163" t="s">
        <v>978</v>
      </c>
      <c r="C163" t="s">
        <v>20</v>
      </c>
      <c r="D163" t="s">
        <v>24</v>
      </c>
      <c r="E163">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2435</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0 days</v>
      </c>
    </row>
    <row r="164" spans="1:17" x14ac:dyDescent="0.3">
      <c r="A164">
        <v>1163</v>
      </c>
      <c r="B164" t="s">
        <v>673</v>
      </c>
      <c r="C164" t="s">
        <v>15</v>
      </c>
      <c r="D164" t="s">
        <v>24</v>
      </c>
      <c r="E164">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827</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165" spans="1:17" x14ac:dyDescent="0.3">
      <c r="A165">
        <v>1164</v>
      </c>
      <c r="B165" t="s">
        <v>589</v>
      </c>
      <c r="C165" t="s">
        <v>10</v>
      </c>
      <c r="D165" t="s">
        <v>11</v>
      </c>
      <c r="E16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209</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68" spans="1:17" x14ac:dyDescent="0.3">
      <c r="A168">
        <v>1167</v>
      </c>
      <c r="B168" t="s">
        <v>541</v>
      </c>
      <c r="C168" t="s">
        <v>33</v>
      </c>
      <c r="D168" t="s">
        <v>24</v>
      </c>
      <c r="E168">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654</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16 days</v>
      </c>
    </row>
    <row r="170" spans="1:17" x14ac:dyDescent="0.3">
      <c r="A170">
        <v>1169</v>
      </c>
      <c r="B170" t="s">
        <v>597</v>
      </c>
      <c r="C170" t="s">
        <v>10</v>
      </c>
      <c r="D170" t="s">
        <v>16</v>
      </c>
      <c r="E170">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2113</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14 days</v>
      </c>
    </row>
    <row r="171" spans="1:17" x14ac:dyDescent="0.3">
      <c r="A171">
        <v>1170</v>
      </c>
      <c r="B171" t="s">
        <v>1076</v>
      </c>
      <c r="C171" t="s">
        <v>23</v>
      </c>
      <c r="D171" t="s">
        <v>24</v>
      </c>
      <c r="E171">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870</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19 days</v>
      </c>
    </row>
    <row r="172" spans="1:17" x14ac:dyDescent="0.3">
      <c r="A172">
        <v>1171</v>
      </c>
      <c r="B172" t="s">
        <v>885</v>
      </c>
      <c r="C172" t="s">
        <v>15</v>
      </c>
      <c r="D172" t="s">
        <v>24</v>
      </c>
      <c r="E172">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2060</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22 days</v>
      </c>
    </row>
    <row r="173" spans="1:17" x14ac:dyDescent="0.3">
      <c r="A173">
        <v>1172</v>
      </c>
      <c r="B173" t="s">
        <v>142</v>
      </c>
      <c r="C173" t="s">
        <v>20</v>
      </c>
      <c r="D173" t="s">
        <v>11</v>
      </c>
      <c r="E173">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2775</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6 days</v>
      </c>
    </row>
    <row r="178" spans="1:17" x14ac:dyDescent="0.3">
      <c r="A178">
        <v>1177</v>
      </c>
      <c r="B178" t="s">
        <v>1093</v>
      </c>
      <c r="C178" t="s">
        <v>15</v>
      </c>
      <c r="D178" t="s">
        <v>24</v>
      </c>
      <c r="E178">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1272</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25 days</v>
      </c>
    </row>
    <row r="179" spans="1:17" x14ac:dyDescent="0.3">
      <c r="A179">
        <v>1178</v>
      </c>
      <c r="B179" t="s">
        <v>171</v>
      </c>
      <c r="C179" t="s">
        <v>10</v>
      </c>
      <c r="D179" t="s">
        <v>16</v>
      </c>
      <c r="E179">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580</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3 days</v>
      </c>
    </row>
    <row r="180" spans="1:17" x14ac:dyDescent="0.3">
      <c r="A180">
        <v>1179</v>
      </c>
      <c r="B180" t="s">
        <v>680</v>
      </c>
      <c r="C180" t="s">
        <v>46</v>
      </c>
      <c r="D180" t="s">
        <v>16</v>
      </c>
      <c r="E180">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1610</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29 days</v>
      </c>
    </row>
    <row r="181" spans="1:17" x14ac:dyDescent="0.3">
      <c r="A181">
        <v>1180</v>
      </c>
      <c r="B181" t="s">
        <v>14</v>
      </c>
      <c r="C181" t="s">
        <v>15</v>
      </c>
      <c r="D181" t="s">
        <v>16</v>
      </c>
      <c r="E181">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1615</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182" spans="1:17" x14ac:dyDescent="0.3">
      <c r="A182">
        <v>1181</v>
      </c>
      <c r="B182" t="s">
        <v>640</v>
      </c>
      <c r="C182" t="s">
        <v>20</v>
      </c>
      <c r="D182" t="s">
        <v>11</v>
      </c>
      <c r="E182">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1280</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183" spans="1:17" x14ac:dyDescent="0.3">
      <c r="A183">
        <v>1182</v>
      </c>
      <c r="B183" t="s">
        <v>1051</v>
      </c>
      <c r="C183" t="s">
        <v>10</v>
      </c>
      <c r="D183" t="s">
        <v>16</v>
      </c>
      <c r="E183">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2992</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9 days</v>
      </c>
    </row>
    <row r="184" spans="1:17" x14ac:dyDescent="0.3">
      <c r="A184">
        <v>1183</v>
      </c>
      <c r="B184" t="s">
        <v>287</v>
      </c>
      <c r="C184" t="s">
        <v>10</v>
      </c>
      <c r="D184" t="s">
        <v>16</v>
      </c>
      <c r="E184">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2220</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29 days</v>
      </c>
    </row>
    <row r="185" spans="1:17" x14ac:dyDescent="0.3">
      <c r="A185">
        <v>1184</v>
      </c>
      <c r="B185" t="s">
        <v>577</v>
      </c>
      <c r="C185" t="s">
        <v>23</v>
      </c>
      <c r="D185" t="s">
        <v>16</v>
      </c>
      <c r="E18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2453</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18 days</v>
      </c>
    </row>
    <row r="187" spans="1:17" x14ac:dyDescent="0.3">
      <c r="A187">
        <v>1186</v>
      </c>
      <c r="B187" t="s">
        <v>462</v>
      </c>
      <c r="C187" t="s">
        <v>46</v>
      </c>
      <c r="D187" t="s">
        <v>11</v>
      </c>
      <c r="E187">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945</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189" spans="1:17" x14ac:dyDescent="0.3">
      <c r="A189">
        <v>1188</v>
      </c>
      <c r="B189" t="s">
        <v>1036</v>
      </c>
      <c r="C189" t="s">
        <v>20</v>
      </c>
      <c r="D189" t="s">
        <v>24</v>
      </c>
      <c r="E189">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400</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4 days</v>
      </c>
    </row>
    <row r="193" spans="1:17" x14ac:dyDescent="0.3">
      <c r="A193">
        <v>1192</v>
      </c>
      <c r="B193" t="s">
        <v>309</v>
      </c>
      <c r="C193" t="s">
        <v>23</v>
      </c>
      <c r="D193" t="s">
        <v>11</v>
      </c>
      <c r="E193">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1912</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25 days</v>
      </c>
    </row>
    <row r="195" spans="1:17" x14ac:dyDescent="0.3">
      <c r="A195">
        <v>1194</v>
      </c>
      <c r="B195" t="s">
        <v>898</v>
      </c>
      <c r="C195" t="s">
        <v>10</v>
      </c>
      <c r="D195" t="s">
        <v>16</v>
      </c>
      <c r="E19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2451</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16 days</v>
      </c>
    </row>
    <row r="196" spans="1:17" x14ac:dyDescent="0.3">
      <c r="A196">
        <v>1195</v>
      </c>
      <c r="B196" t="s">
        <v>667</v>
      </c>
      <c r="C196" t="s">
        <v>10</v>
      </c>
      <c r="D196" t="s">
        <v>11</v>
      </c>
      <c r="E196">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1028</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24 days</v>
      </c>
    </row>
    <row r="200" spans="1:17" x14ac:dyDescent="0.3">
      <c r="A200">
        <v>1199</v>
      </c>
      <c r="B200" t="s">
        <v>936</v>
      </c>
      <c r="C200" t="s">
        <v>15</v>
      </c>
      <c r="D200" t="s">
        <v>24</v>
      </c>
      <c r="E200">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1928</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10 days</v>
      </c>
    </row>
    <row r="201" spans="1:17" x14ac:dyDescent="0.3">
      <c r="A201">
        <v>1200</v>
      </c>
      <c r="B201" t="s">
        <v>401</v>
      </c>
      <c r="C201" t="s">
        <v>20</v>
      </c>
      <c r="D201" t="s">
        <v>11</v>
      </c>
      <c r="E201">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2913</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21 days</v>
      </c>
    </row>
    <row r="202" spans="1:17" x14ac:dyDescent="0.3">
      <c r="A202">
        <v>1201</v>
      </c>
      <c r="B202" t="s">
        <v>730</v>
      </c>
      <c r="C202" t="s">
        <v>15</v>
      </c>
      <c r="D202" t="s">
        <v>24</v>
      </c>
      <c r="E202">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1953</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7 days</v>
      </c>
    </row>
    <row r="203" spans="1:17" x14ac:dyDescent="0.3">
      <c r="A203">
        <v>1202</v>
      </c>
      <c r="B203" t="s">
        <v>894</v>
      </c>
      <c r="C203" t="s">
        <v>10</v>
      </c>
      <c r="D203" t="s">
        <v>11</v>
      </c>
      <c r="E203">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814</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23 days</v>
      </c>
    </row>
    <row r="204" spans="1:17" x14ac:dyDescent="0.3">
      <c r="A204">
        <v>1203</v>
      </c>
      <c r="B204" t="s">
        <v>655</v>
      </c>
      <c r="C204" t="s">
        <v>10</v>
      </c>
      <c r="D204" t="s">
        <v>16</v>
      </c>
      <c r="E204">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2537</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10 days</v>
      </c>
    </row>
    <row r="205" spans="1:17" x14ac:dyDescent="0.3">
      <c r="A205">
        <v>1204</v>
      </c>
      <c r="B205" t="s">
        <v>255</v>
      </c>
      <c r="C205" t="s">
        <v>10</v>
      </c>
      <c r="D205" t="s">
        <v>24</v>
      </c>
      <c r="E20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1489</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28 days</v>
      </c>
    </row>
    <row r="206" spans="1:17" x14ac:dyDescent="0.3">
      <c r="A206">
        <v>1205</v>
      </c>
      <c r="B206" t="s">
        <v>543</v>
      </c>
      <c r="C206" t="s">
        <v>20</v>
      </c>
      <c r="D206" t="s">
        <v>16</v>
      </c>
      <c r="E206">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413</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208" spans="1:17" x14ac:dyDescent="0.3">
      <c r="A208">
        <v>1207</v>
      </c>
      <c r="B208" t="s">
        <v>636</v>
      </c>
      <c r="C208" t="s">
        <v>23</v>
      </c>
      <c r="D208" t="s">
        <v>16</v>
      </c>
      <c r="E208">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2493</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28 days</v>
      </c>
    </row>
    <row r="209" spans="1:17" x14ac:dyDescent="0.3">
      <c r="A209">
        <v>1208</v>
      </c>
      <c r="B209" t="s">
        <v>150</v>
      </c>
      <c r="C209" t="s">
        <v>15</v>
      </c>
      <c r="D209" t="s">
        <v>24</v>
      </c>
      <c r="E209">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2478</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13 days</v>
      </c>
    </row>
    <row r="210" spans="1:17" x14ac:dyDescent="0.3">
      <c r="A210">
        <v>1209</v>
      </c>
      <c r="B210" t="s">
        <v>333</v>
      </c>
      <c r="C210" t="s">
        <v>33</v>
      </c>
      <c r="D210" t="s">
        <v>11</v>
      </c>
      <c r="E210">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1647</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4 days</v>
      </c>
    </row>
    <row r="212" spans="1:17" x14ac:dyDescent="0.3">
      <c r="A212">
        <v>1211</v>
      </c>
      <c r="B212" t="s">
        <v>648</v>
      </c>
      <c r="C212" t="s">
        <v>10</v>
      </c>
      <c r="D212" t="s">
        <v>16</v>
      </c>
      <c r="E212">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1915</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28 days</v>
      </c>
    </row>
    <row r="213" spans="1:17" x14ac:dyDescent="0.3">
      <c r="A213">
        <v>1212</v>
      </c>
      <c r="B213" t="s">
        <v>411</v>
      </c>
      <c r="C213" t="s">
        <v>10</v>
      </c>
      <c r="D213" t="s">
        <v>24</v>
      </c>
      <c r="E213">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1543</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21 days</v>
      </c>
    </row>
    <row r="214" spans="1:17" x14ac:dyDescent="0.3">
      <c r="A214">
        <v>1213</v>
      </c>
      <c r="B214" t="s">
        <v>817</v>
      </c>
      <c r="C214" t="s">
        <v>33</v>
      </c>
      <c r="D214" t="s">
        <v>16</v>
      </c>
      <c r="E214">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2651</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 days</v>
      </c>
    </row>
    <row r="216" spans="1:17" x14ac:dyDescent="0.3">
      <c r="A216">
        <v>1215</v>
      </c>
      <c r="B216" t="s">
        <v>133</v>
      </c>
      <c r="C216" t="s">
        <v>23</v>
      </c>
      <c r="D216" t="s">
        <v>16</v>
      </c>
      <c r="E216">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1746</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12 days</v>
      </c>
    </row>
    <row r="217" spans="1:17" x14ac:dyDescent="0.3">
      <c r="A217">
        <v>1216</v>
      </c>
      <c r="B217" t="s">
        <v>228</v>
      </c>
      <c r="C217" t="s">
        <v>15</v>
      </c>
      <c r="D217" t="s">
        <v>24</v>
      </c>
      <c r="E217">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1432</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 days</v>
      </c>
    </row>
    <row r="218" spans="1:17" x14ac:dyDescent="0.3">
      <c r="A218">
        <v>1217</v>
      </c>
      <c r="B218" t="s">
        <v>502</v>
      </c>
      <c r="C218" t="s">
        <v>20</v>
      </c>
      <c r="D218" t="s">
        <v>16</v>
      </c>
      <c r="E218">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1387</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18 days</v>
      </c>
    </row>
    <row r="220" spans="1:17" x14ac:dyDescent="0.3">
      <c r="A220">
        <v>1219</v>
      </c>
      <c r="B220" t="s">
        <v>261</v>
      </c>
      <c r="C220" t="s">
        <v>10</v>
      </c>
      <c r="D220" t="s">
        <v>24</v>
      </c>
      <c r="E220">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2380</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6 days</v>
      </c>
    </row>
    <row r="223" spans="1:17" x14ac:dyDescent="0.3">
      <c r="A223">
        <v>1222</v>
      </c>
      <c r="B223" t="s">
        <v>629</v>
      </c>
      <c r="C223" t="s">
        <v>10</v>
      </c>
      <c r="D223" t="s">
        <v>16</v>
      </c>
      <c r="E223">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1395</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26 days</v>
      </c>
    </row>
    <row r="227" spans="1:17" x14ac:dyDescent="0.3">
      <c r="A227">
        <v>1226</v>
      </c>
      <c r="B227" t="s">
        <v>37</v>
      </c>
      <c r="C227" t="s">
        <v>33</v>
      </c>
      <c r="D227" t="s">
        <v>11</v>
      </c>
      <c r="E227">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946</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3 days</v>
      </c>
    </row>
    <row r="228" spans="1:17" x14ac:dyDescent="0.3">
      <c r="A228">
        <v>1227</v>
      </c>
      <c r="B228" t="s">
        <v>612</v>
      </c>
      <c r="C228" t="s">
        <v>15</v>
      </c>
      <c r="D228" t="s">
        <v>11</v>
      </c>
      <c r="E228">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2270</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18 days</v>
      </c>
    </row>
    <row r="229" spans="1:17" x14ac:dyDescent="0.3">
      <c r="A229">
        <v>1228</v>
      </c>
      <c r="B229" t="s">
        <v>767</v>
      </c>
      <c r="C229" t="s">
        <v>15</v>
      </c>
      <c r="D229" t="s">
        <v>16</v>
      </c>
      <c r="E229">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343</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8 days</v>
      </c>
    </row>
    <row r="231" spans="1:17" x14ac:dyDescent="0.3">
      <c r="A231">
        <v>1230</v>
      </c>
      <c r="B231" t="s">
        <v>576</v>
      </c>
      <c r="C231" t="s">
        <v>20</v>
      </c>
      <c r="D231" t="s">
        <v>24</v>
      </c>
      <c r="E231">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2544</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17 days</v>
      </c>
    </row>
    <row r="233" spans="1:17" x14ac:dyDescent="0.3">
      <c r="A233">
        <v>1232</v>
      </c>
      <c r="B233" t="s">
        <v>591</v>
      </c>
      <c r="C233" t="s">
        <v>10</v>
      </c>
      <c r="D233" t="s">
        <v>11</v>
      </c>
      <c r="E233">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1451</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20 days</v>
      </c>
    </row>
    <row r="238" spans="1:17" x14ac:dyDescent="0.3">
      <c r="A238">
        <v>1237</v>
      </c>
      <c r="B238" t="s">
        <v>224</v>
      </c>
      <c r="C238" t="s">
        <v>20</v>
      </c>
      <c r="D238" t="s">
        <v>16</v>
      </c>
      <c r="E238">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2139</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9 days</v>
      </c>
    </row>
    <row r="239" spans="1:17" x14ac:dyDescent="0.3">
      <c r="A239">
        <v>1238</v>
      </c>
      <c r="B239" t="s">
        <v>662</v>
      </c>
      <c r="C239" t="s">
        <v>15</v>
      </c>
      <c r="D239" t="s">
        <v>11</v>
      </c>
      <c r="E239">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2193</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 days</v>
      </c>
    </row>
    <row r="240" spans="1:17" x14ac:dyDescent="0.3">
      <c r="A240">
        <v>1239</v>
      </c>
      <c r="B240" t="s">
        <v>924</v>
      </c>
      <c r="C240" t="s">
        <v>23</v>
      </c>
      <c r="D240" t="s">
        <v>24</v>
      </c>
      <c r="E240">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2906</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14 days</v>
      </c>
    </row>
    <row r="241" spans="1:17" x14ac:dyDescent="0.3">
      <c r="A241">
        <v>1240</v>
      </c>
      <c r="B241" t="s">
        <v>1077</v>
      </c>
      <c r="C241" t="s">
        <v>10</v>
      </c>
      <c r="D241" t="s">
        <v>16</v>
      </c>
      <c r="E241">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895</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13 days</v>
      </c>
    </row>
    <row r="242" spans="1:17" x14ac:dyDescent="0.3">
      <c r="A242">
        <v>1241</v>
      </c>
      <c r="B242" t="s">
        <v>1023</v>
      </c>
      <c r="C242" t="s">
        <v>15</v>
      </c>
      <c r="D242" t="s">
        <v>24</v>
      </c>
      <c r="E242">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795</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4 days</v>
      </c>
    </row>
    <row r="243" spans="1:17" x14ac:dyDescent="0.3">
      <c r="A243">
        <v>1242</v>
      </c>
      <c r="B243" t="s">
        <v>888</v>
      </c>
      <c r="C243" t="s">
        <v>10</v>
      </c>
      <c r="D243" t="s">
        <v>16</v>
      </c>
      <c r="E243">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1256</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9 days</v>
      </c>
    </row>
    <row r="244" spans="1:17" x14ac:dyDescent="0.3">
      <c r="A244">
        <v>1243</v>
      </c>
      <c r="B244" t="s">
        <v>129</v>
      </c>
      <c r="C244" t="s">
        <v>15</v>
      </c>
      <c r="D244" t="s">
        <v>16</v>
      </c>
      <c r="E244">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1137</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10 days</v>
      </c>
    </row>
    <row r="246" spans="1:17" x14ac:dyDescent="0.3">
      <c r="A246">
        <v>1245</v>
      </c>
      <c r="B246" t="s">
        <v>1091</v>
      </c>
      <c r="C246" t="s">
        <v>23</v>
      </c>
      <c r="D246" t="s">
        <v>11</v>
      </c>
      <c r="E246">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1189</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47" spans="1:17" x14ac:dyDescent="0.3">
      <c r="A247">
        <v>1246</v>
      </c>
      <c r="B247" t="s">
        <v>148</v>
      </c>
      <c r="C247" t="s">
        <v>23</v>
      </c>
      <c r="D247" t="s">
        <v>11</v>
      </c>
      <c r="E247">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1787</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22 days</v>
      </c>
    </row>
    <row r="248" spans="1:17" x14ac:dyDescent="0.3">
      <c r="A248">
        <v>1247</v>
      </c>
      <c r="B248" t="s">
        <v>872</v>
      </c>
      <c r="C248" t="s">
        <v>20</v>
      </c>
      <c r="D248" t="s">
        <v>16</v>
      </c>
      <c r="E248">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706</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6 days</v>
      </c>
    </row>
    <row r="249" spans="1:17" x14ac:dyDescent="0.3">
      <c r="A249">
        <v>1248</v>
      </c>
      <c r="B249" t="s">
        <v>496</v>
      </c>
      <c r="C249" t="s">
        <v>15</v>
      </c>
      <c r="D249" t="s">
        <v>24</v>
      </c>
      <c r="E249">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1053</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18 days</v>
      </c>
    </row>
    <row r="250" spans="1:17" x14ac:dyDescent="0.3">
      <c r="A250">
        <v>1249</v>
      </c>
      <c r="B250" t="s">
        <v>981</v>
      </c>
      <c r="C250" t="s">
        <v>23</v>
      </c>
      <c r="D250" t="s">
        <v>11</v>
      </c>
      <c r="E250">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2851</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21 days</v>
      </c>
    </row>
    <row r="253" spans="1:17" x14ac:dyDescent="0.3">
      <c r="A253">
        <v>1252</v>
      </c>
      <c r="B253" t="s">
        <v>815</v>
      </c>
      <c r="C253" t="s">
        <v>23</v>
      </c>
      <c r="D253" t="s">
        <v>24</v>
      </c>
      <c r="E253">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930</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17 days</v>
      </c>
    </row>
    <row r="254" spans="1:17" x14ac:dyDescent="0.3">
      <c r="A254">
        <v>1253</v>
      </c>
      <c r="B254" t="s">
        <v>923</v>
      </c>
      <c r="C254" t="s">
        <v>33</v>
      </c>
      <c r="D254" t="s">
        <v>11</v>
      </c>
      <c r="E254">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2704</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27 days</v>
      </c>
    </row>
    <row r="255" spans="1:17" x14ac:dyDescent="0.3">
      <c r="A255">
        <v>1254</v>
      </c>
      <c r="B255" t="s">
        <v>75</v>
      </c>
      <c r="C255" t="s">
        <v>10</v>
      </c>
      <c r="D255" t="s">
        <v>24</v>
      </c>
      <c r="E25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2716</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257" spans="1:17" x14ac:dyDescent="0.3">
      <c r="A257">
        <v>1256</v>
      </c>
      <c r="B257" t="s">
        <v>860</v>
      </c>
      <c r="C257" t="s">
        <v>20</v>
      </c>
      <c r="D257" t="s">
        <v>16</v>
      </c>
      <c r="E257">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457</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0 days</v>
      </c>
    </row>
    <row r="258" spans="1:17" x14ac:dyDescent="0.3">
      <c r="A258">
        <v>1257</v>
      </c>
      <c r="B258" t="s">
        <v>966</v>
      </c>
      <c r="C258" t="s">
        <v>46</v>
      </c>
      <c r="D258" t="s">
        <v>16</v>
      </c>
      <c r="E258">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2250</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29 days</v>
      </c>
    </row>
    <row r="260" spans="1:17" x14ac:dyDescent="0.3">
      <c r="A260">
        <v>1259</v>
      </c>
      <c r="B260" t="s">
        <v>421</v>
      </c>
      <c r="C260" t="s">
        <v>23</v>
      </c>
      <c r="D260" t="s">
        <v>11</v>
      </c>
      <c r="E260">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1740</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261" spans="1:17" x14ac:dyDescent="0.3">
      <c r="A261">
        <v>1260</v>
      </c>
      <c r="B261" t="s">
        <v>199</v>
      </c>
      <c r="C261" t="s">
        <v>23</v>
      </c>
      <c r="D261" t="s">
        <v>11</v>
      </c>
      <c r="E261">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2698</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21 days</v>
      </c>
    </row>
    <row r="262" spans="1:17" x14ac:dyDescent="0.3">
      <c r="A262">
        <v>1261</v>
      </c>
      <c r="B262" t="s">
        <v>837</v>
      </c>
      <c r="C262" t="s">
        <v>23</v>
      </c>
      <c r="D262" t="s">
        <v>24</v>
      </c>
      <c r="E262">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2977</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24 days</v>
      </c>
    </row>
    <row r="263" spans="1:17" x14ac:dyDescent="0.3">
      <c r="A263">
        <v>1262</v>
      </c>
      <c r="B263" t="s">
        <v>698</v>
      </c>
      <c r="C263" t="s">
        <v>10</v>
      </c>
      <c r="D263" t="s">
        <v>24</v>
      </c>
      <c r="E263">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2747</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8 days</v>
      </c>
    </row>
    <row r="264" spans="1:17" x14ac:dyDescent="0.3">
      <c r="A264">
        <v>1263</v>
      </c>
      <c r="B264" t="s">
        <v>227</v>
      </c>
      <c r="C264" t="s">
        <v>15</v>
      </c>
      <c r="D264" t="s">
        <v>16</v>
      </c>
      <c r="E264">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1260</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13 days</v>
      </c>
    </row>
    <row r="266" spans="1:17" x14ac:dyDescent="0.3">
      <c r="A266">
        <v>1265</v>
      </c>
      <c r="B266" t="s">
        <v>994</v>
      </c>
      <c r="C266" t="s">
        <v>10</v>
      </c>
      <c r="D266" t="s">
        <v>16</v>
      </c>
      <c r="E266">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1871</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269" spans="1:17" x14ac:dyDescent="0.3">
      <c r="A269">
        <v>1268</v>
      </c>
      <c r="B269" t="s">
        <v>326</v>
      </c>
      <c r="C269" t="s">
        <v>20</v>
      </c>
      <c r="D269" t="s">
        <v>24</v>
      </c>
      <c r="E269">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1727</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23 days</v>
      </c>
    </row>
    <row r="271" spans="1:17" x14ac:dyDescent="0.3">
      <c r="A271">
        <v>1270</v>
      </c>
      <c r="B271" t="s">
        <v>106</v>
      </c>
      <c r="C271" t="s">
        <v>23</v>
      </c>
      <c r="D271" t="s">
        <v>16</v>
      </c>
      <c r="E271">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673</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4 days</v>
      </c>
    </row>
    <row r="273" spans="1:17" x14ac:dyDescent="0.3">
      <c r="A273">
        <v>1272</v>
      </c>
      <c r="B273" t="s">
        <v>423</v>
      </c>
      <c r="C273" t="s">
        <v>15</v>
      </c>
      <c r="D273" t="s">
        <v>11</v>
      </c>
      <c r="E273">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1303</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25 days</v>
      </c>
    </row>
    <row r="274" spans="1:17" x14ac:dyDescent="0.3">
      <c r="A274">
        <v>1273</v>
      </c>
      <c r="B274" t="s">
        <v>110</v>
      </c>
      <c r="C274" t="s">
        <v>15</v>
      </c>
      <c r="D274" t="s">
        <v>16</v>
      </c>
      <c r="E274">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265</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22 days</v>
      </c>
    </row>
    <row r="276" spans="1:17" x14ac:dyDescent="0.3">
      <c r="A276">
        <v>1275</v>
      </c>
      <c r="B276" t="s">
        <v>995</v>
      </c>
      <c r="C276" t="s">
        <v>33</v>
      </c>
      <c r="D276" t="s">
        <v>24</v>
      </c>
      <c r="E276">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2651</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 days</v>
      </c>
    </row>
    <row r="277" spans="1:17" x14ac:dyDescent="0.3">
      <c r="A277">
        <v>1276</v>
      </c>
      <c r="B277" t="s">
        <v>193</v>
      </c>
      <c r="C277" t="s">
        <v>15</v>
      </c>
      <c r="D277" t="s">
        <v>11</v>
      </c>
      <c r="E277">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1740</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6 days</v>
      </c>
    </row>
    <row r="278" spans="1:17" x14ac:dyDescent="0.3">
      <c r="A278">
        <v>1277</v>
      </c>
      <c r="B278" t="s">
        <v>821</v>
      </c>
      <c r="C278" t="s">
        <v>15</v>
      </c>
      <c r="D278" t="s">
        <v>11</v>
      </c>
      <c r="E278">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721</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21 days</v>
      </c>
    </row>
    <row r="279" spans="1:17" x14ac:dyDescent="0.3">
      <c r="A279">
        <v>1278</v>
      </c>
      <c r="B279" t="s">
        <v>313</v>
      </c>
      <c r="C279" t="s">
        <v>20</v>
      </c>
      <c r="D279" t="s">
        <v>24</v>
      </c>
      <c r="E279">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2384</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10 days</v>
      </c>
    </row>
    <row r="283" spans="1:17" x14ac:dyDescent="0.3">
      <c r="A283">
        <v>1282</v>
      </c>
      <c r="B283" t="s">
        <v>654</v>
      </c>
      <c r="C283" t="s">
        <v>15</v>
      </c>
      <c r="D283" t="s">
        <v>24</v>
      </c>
      <c r="E283">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2335</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284" spans="1:17" x14ac:dyDescent="0.3">
      <c r="A284">
        <v>1283</v>
      </c>
      <c r="B284" t="s">
        <v>793</v>
      </c>
      <c r="C284" t="s">
        <v>10</v>
      </c>
      <c r="D284" t="s">
        <v>24</v>
      </c>
      <c r="E284">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2024</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16 days</v>
      </c>
    </row>
    <row r="286" spans="1:17" x14ac:dyDescent="0.3">
      <c r="A286">
        <v>1285</v>
      </c>
      <c r="B286" t="s">
        <v>1038</v>
      </c>
      <c r="C286" t="s">
        <v>10</v>
      </c>
      <c r="D286" t="s">
        <v>24</v>
      </c>
      <c r="E286">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744</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289" spans="1:17" x14ac:dyDescent="0.3">
      <c r="A289">
        <v>1288</v>
      </c>
      <c r="B289" t="s">
        <v>204</v>
      </c>
      <c r="C289" t="s">
        <v>20</v>
      </c>
      <c r="D289" t="s">
        <v>24</v>
      </c>
      <c r="E289">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782</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93" spans="1:17" x14ac:dyDescent="0.3">
      <c r="A293">
        <v>1292</v>
      </c>
      <c r="B293" t="s">
        <v>865</v>
      </c>
      <c r="C293" t="s">
        <v>10</v>
      </c>
      <c r="D293" t="s">
        <v>24</v>
      </c>
      <c r="E293">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878</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27 days</v>
      </c>
    </row>
    <row r="294" spans="1:17" x14ac:dyDescent="0.3">
      <c r="A294">
        <v>1293</v>
      </c>
      <c r="B294" t="s">
        <v>422</v>
      </c>
      <c r="C294" t="s">
        <v>46</v>
      </c>
      <c r="D294" t="s">
        <v>16</v>
      </c>
      <c r="E294">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1879</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295" spans="1:17" x14ac:dyDescent="0.3">
      <c r="A295">
        <v>1294</v>
      </c>
      <c r="B295" t="s">
        <v>786</v>
      </c>
      <c r="C295" t="s">
        <v>10</v>
      </c>
      <c r="D295" t="s">
        <v>11</v>
      </c>
      <c r="E29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2239</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17 days</v>
      </c>
    </row>
    <row r="296" spans="1:17" x14ac:dyDescent="0.3">
      <c r="A296">
        <v>1295</v>
      </c>
      <c r="B296" t="s">
        <v>321</v>
      </c>
      <c r="C296" t="s">
        <v>15</v>
      </c>
      <c r="D296" t="s">
        <v>16</v>
      </c>
      <c r="E296">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2251</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30 days</v>
      </c>
    </row>
    <row r="297" spans="1:17" x14ac:dyDescent="0.3">
      <c r="A297">
        <v>1296</v>
      </c>
      <c r="B297" t="s">
        <v>154</v>
      </c>
      <c r="C297" t="s">
        <v>10</v>
      </c>
      <c r="D297" t="s">
        <v>11</v>
      </c>
      <c r="E297">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1562</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9 days</v>
      </c>
    </row>
    <row r="300" spans="1:17" x14ac:dyDescent="0.3">
      <c r="A300">
        <v>1299</v>
      </c>
      <c r="B300" t="s">
        <v>1041</v>
      </c>
      <c r="C300" t="s">
        <v>20</v>
      </c>
      <c r="D300" t="s">
        <v>11</v>
      </c>
      <c r="E300">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909</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302" spans="1:17" x14ac:dyDescent="0.3">
      <c r="A302">
        <v>1301</v>
      </c>
      <c r="B302" t="s">
        <v>131</v>
      </c>
      <c r="C302" t="s">
        <v>33</v>
      </c>
      <c r="D302" t="s">
        <v>24</v>
      </c>
      <c r="E302">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2564</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7 days</v>
      </c>
    </row>
    <row r="303" spans="1:17" x14ac:dyDescent="0.3">
      <c r="A303">
        <v>1302</v>
      </c>
      <c r="B303" t="s">
        <v>115</v>
      </c>
      <c r="C303" t="s">
        <v>20</v>
      </c>
      <c r="D303" t="s">
        <v>16</v>
      </c>
      <c r="E303">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2716</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305" spans="1:17" x14ac:dyDescent="0.3">
      <c r="A305">
        <v>1304</v>
      </c>
      <c r="B305" t="s">
        <v>830</v>
      </c>
      <c r="C305" t="s">
        <v>15</v>
      </c>
      <c r="D305" t="s">
        <v>24</v>
      </c>
      <c r="E30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1340</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 days</v>
      </c>
    </row>
    <row r="306" spans="1:17" x14ac:dyDescent="0.3">
      <c r="A306">
        <v>1305</v>
      </c>
      <c r="B306" t="s">
        <v>969</v>
      </c>
      <c r="C306" t="s">
        <v>15</v>
      </c>
      <c r="D306" t="s">
        <v>16</v>
      </c>
      <c r="E306">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599</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22 days</v>
      </c>
    </row>
    <row r="309" spans="1:17" x14ac:dyDescent="0.3">
      <c r="A309">
        <v>1308</v>
      </c>
      <c r="B309" t="s">
        <v>216</v>
      </c>
      <c r="C309" t="s">
        <v>23</v>
      </c>
      <c r="D309" t="s">
        <v>16</v>
      </c>
      <c r="E309">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575</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29 days</v>
      </c>
    </row>
    <row r="310" spans="1:17" x14ac:dyDescent="0.3">
      <c r="A310">
        <v>1309</v>
      </c>
      <c r="B310" t="s">
        <v>202</v>
      </c>
      <c r="C310" t="s">
        <v>15</v>
      </c>
      <c r="D310" t="s">
        <v>16</v>
      </c>
      <c r="E310">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1659</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16 days</v>
      </c>
    </row>
    <row r="311" spans="1:17" x14ac:dyDescent="0.3">
      <c r="A311">
        <v>1310</v>
      </c>
      <c r="B311" t="s">
        <v>638</v>
      </c>
      <c r="C311" t="s">
        <v>10</v>
      </c>
      <c r="D311" t="s">
        <v>24</v>
      </c>
      <c r="E311">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1071</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5 days</v>
      </c>
    </row>
    <row r="313" spans="1:17" x14ac:dyDescent="0.3">
      <c r="A313">
        <v>1312</v>
      </c>
      <c r="B313" t="s">
        <v>967</v>
      </c>
      <c r="C313" t="s">
        <v>15</v>
      </c>
      <c r="D313" t="s">
        <v>11</v>
      </c>
      <c r="E313">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1619</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314" spans="1:17" x14ac:dyDescent="0.3">
      <c r="A314">
        <v>1313</v>
      </c>
      <c r="B314" t="s">
        <v>709</v>
      </c>
      <c r="C314" t="s">
        <v>23</v>
      </c>
      <c r="D314" t="s">
        <v>24</v>
      </c>
      <c r="E314">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1169</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315" spans="1:17" x14ac:dyDescent="0.3">
      <c r="A315">
        <v>1314</v>
      </c>
      <c r="B315" t="s">
        <v>582</v>
      </c>
      <c r="C315" t="s">
        <v>10</v>
      </c>
      <c r="D315" t="s">
        <v>16</v>
      </c>
      <c r="E31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1468</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7 days</v>
      </c>
    </row>
    <row r="316" spans="1:17" x14ac:dyDescent="0.3">
      <c r="A316">
        <v>1315</v>
      </c>
      <c r="B316" t="s">
        <v>748</v>
      </c>
      <c r="C316" t="s">
        <v>15</v>
      </c>
      <c r="D316" t="s">
        <v>24</v>
      </c>
      <c r="E316">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1828</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 days</v>
      </c>
    </row>
    <row r="318" spans="1:17" x14ac:dyDescent="0.3">
      <c r="A318">
        <v>1317</v>
      </c>
      <c r="B318" t="s">
        <v>643</v>
      </c>
      <c r="C318" t="s">
        <v>15</v>
      </c>
      <c r="D318" t="s">
        <v>24</v>
      </c>
      <c r="E318">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1832</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6 days</v>
      </c>
    </row>
    <row r="319" spans="1:17" x14ac:dyDescent="0.3">
      <c r="A319">
        <v>1318</v>
      </c>
      <c r="B319" t="s">
        <v>191</v>
      </c>
      <c r="C319" t="s">
        <v>20</v>
      </c>
      <c r="D319" t="s">
        <v>16</v>
      </c>
      <c r="E319">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956</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320" spans="1:17" x14ac:dyDescent="0.3">
      <c r="A320">
        <v>1319</v>
      </c>
      <c r="B320" t="s">
        <v>706</v>
      </c>
      <c r="C320" t="s">
        <v>20</v>
      </c>
      <c r="D320" t="s">
        <v>16</v>
      </c>
      <c r="E320">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1726</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22 days</v>
      </c>
    </row>
    <row r="321" spans="1:17" x14ac:dyDescent="0.3">
      <c r="A321">
        <v>1320</v>
      </c>
      <c r="B321" t="s">
        <v>91</v>
      </c>
      <c r="C321" t="s">
        <v>23</v>
      </c>
      <c r="D321" t="s">
        <v>24</v>
      </c>
      <c r="E321">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1052</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17 days</v>
      </c>
    </row>
    <row r="322" spans="1:17" x14ac:dyDescent="0.3">
      <c r="A322">
        <v>1321</v>
      </c>
      <c r="B322" t="s">
        <v>957</v>
      </c>
      <c r="C322" t="s">
        <v>33</v>
      </c>
      <c r="D322" t="s">
        <v>24</v>
      </c>
      <c r="E322">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2163</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 days</v>
      </c>
    </row>
    <row r="323" spans="1:17" x14ac:dyDescent="0.3">
      <c r="A323">
        <v>1322</v>
      </c>
      <c r="B323" t="s">
        <v>602</v>
      </c>
      <c r="C323" t="s">
        <v>15</v>
      </c>
      <c r="D323" t="s">
        <v>16</v>
      </c>
      <c r="E323">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1530</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8 days</v>
      </c>
    </row>
    <row r="324" spans="1:17" x14ac:dyDescent="0.3">
      <c r="A324">
        <v>1323</v>
      </c>
      <c r="B324" t="s">
        <v>572</v>
      </c>
      <c r="C324" t="s">
        <v>15</v>
      </c>
      <c r="D324" t="s">
        <v>16</v>
      </c>
      <c r="E324">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1987</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10 days</v>
      </c>
    </row>
    <row r="325" spans="1:17" x14ac:dyDescent="0.3">
      <c r="A325">
        <v>1324</v>
      </c>
      <c r="B325" t="s">
        <v>897</v>
      </c>
      <c r="C325" t="s">
        <v>15</v>
      </c>
      <c r="D325" t="s">
        <v>11</v>
      </c>
      <c r="E32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1854</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28 days</v>
      </c>
    </row>
    <row r="327" spans="1:17" x14ac:dyDescent="0.3">
      <c r="A327">
        <v>1326</v>
      </c>
      <c r="B327" t="s">
        <v>895</v>
      </c>
      <c r="C327" t="s">
        <v>46</v>
      </c>
      <c r="D327" t="s">
        <v>11</v>
      </c>
      <c r="E327">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2793</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24 days</v>
      </c>
    </row>
    <row r="333" spans="1:17" x14ac:dyDescent="0.3">
      <c r="A333">
        <v>1332</v>
      </c>
      <c r="B333" t="s">
        <v>583</v>
      </c>
      <c r="C333" t="s">
        <v>15</v>
      </c>
      <c r="D333" t="s">
        <v>24</v>
      </c>
      <c r="E333">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2604</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16 days</v>
      </c>
    </row>
    <row r="334" spans="1:17" x14ac:dyDescent="0.3">
      <c r="A334">
        <v>1333</v>
      </c>
      <c r="B334" t="s">
        <v>78</v>
      </c>
      <c r="C334" t="s">
        <v>33</v>
      </c>
      <c r="D334" t="s">
        <v>16</v>
      </c>
      <c r="E334">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212</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335" spans="1:17" x14ac:dyDescent="0.3">
      <c r="A335">
        <v>1334</v>
      </c>
      <c r="B335" t="s">
        <v>222</v>
      </c>
      <c r="C335" t="s">
        <v>10</v>
      </c>
      <c r="D335" t="s">
        <v>16</v>
      </c>
      <c r="E33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1641</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336" spans="1:17" x14ac:dyDescent="0.3">
      <c r="A336">
        <v>1335</v>
      </c>
      <c r="B336" t="s">
        <v>1030</v>
      </c>
      <c r="C336" t="s">
        <v>15</v>
      </c>
      <c r="D336" t="s">
        <v>24</v>
      </c>
      <c r="E336">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821</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30 days</v>
      </c>
    </row>
    <row r="337" spans="1:17" x14ac:dyDescent="0.3">
      <c r="A337">
        <v>1336</v>
      </c>
      <c r="B337" t="s">
        <v>746</v>
      </c>
      <c r="C337" t="s">
        <v>15</v>
      </c>
      <c r="D337" t="s">
        <v>16</v>
      </c>
      <c r="E337">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1531</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340" spans="1:17" x14ac:dyDescent="0.3">
      <c r="A340">
        <v>1339</v>
      </c>
      <c r="B340" t="s">
        <v>170</v>
      </c>
      <c r="C340" t="s">
        <v>10</v>
      </c>
      <c r="D340" t="s">
        <v>24</v>
      </c>
      <c r="E340">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2957</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4 days</v>
      </c>
    </row>
    <row r="341" spans="1:17" x14ac:dyDescent="0.3">
      <c r="A341">
        <v>1340</v>
      </c>
      <c r="B341" t="s">
        <v>979</v>
      </c>
      <c r="C341" t="s">
        <v>33</v>
      </c>
      <c r="D341" t="s">
        <v>24</v>
      </c>
      <c r="E341">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1953</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7 days</v>
      </c>
    </row>
    <row r="342" spans="1:17" x14ac:dyDescent="0.3">
      <c r="A342">
        <v>1341</v>
      </c>
      <c r="B342" t="s">
        <v>728</v>
      </c>
      <c r="C342" t="s">
        <v>33</v>
      </c>
      <c r="D342" t="s">
        <v>16</v>
      </c>
      <c r="E342">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3019</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5 days</v>
      </c>
    </row>
    <row r="343" spans="1:17" x14ac:dyDescent="0.3">
      <c r="A343">
        <v>1342</v>
      </c>
      <c r="B343" t="s">
        <v>776</v>
      </c>
      <c r="C343" t="s">
        <v>10</v>
      </c>
      <c r="D343" t="s">
        <v>24</v>
      </c>
      <c r="E343">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2327</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15 days</v>
      </c>
    </row>
    <row r="347" spans="1:17" x14ac:dyDescent="0.3">
      <c r="A347">
        <v>1346</v>
      </c>
      <c r="B347" t="s">
        <v>931</v>
      </c>
      <c r="C347" t="s">
        <v>15</v>
      </c>
      <c r="D347" t="s">
        <v>16</v>
      </c>
      <c r="E347">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3017</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348" spans="1:17" x14ac:dyDescent="0.3">
      <c r="A348">
        <v>1347</v>
      </c>
      <c r="B348" t="s">
        <v>890</v>
      </c>
      <c r="C348" t="s">
        <v>15</v>
      </c>
      <c r="D348" t="s">
        <v>16</v>
      </c>
      <c r="E348">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213</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 days</v>
      </c>
    </row>
    <row r="350" spans="1:17" x14ac:dyDescent="0.3">
      <c r="A350">
        <v>1349</v>
      </c>
      <c r="B350" t="s">
        <v>539</v>
      </c>
      <c r="C350" t="s">
        <v>10</v>
      </c>
      <c r="D350" t="s">
        <v>11</v>
      </c>
      <c r="E350">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480</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351" spans="1:17" x14ac:dyDescent="0.3">
      <c r="A351">
        <v>1350</v>
      </c>
      <c r="B351" t="s">
        <v>1047</v>
      </c>
      <c r="C351" t="s">
        <v>23</v>
      </c>
      <c r="D351" t="s">
        <v>11</v>
      </c>
      <c r="E351">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2184</v>
      </c>
      <c r="L351" cm="1">
        <f t="array" aca="1" ref="L351" ca="1">_xlfn.IFS(EmployeeData[[#This Row],[Status]]="Exited",DATEDIF(EmployeeData[[#This Row],[Join Date]], EmployeeData[[#This Row],[Exit Date]], "Y"),EmployeeData[[#This Row],[Status]]="Active",DATEDIF(EmployeeData[[#This Row],[Join Date]], TODAY(), "Y"))</f>
        <v>5</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23 days</v>
      </c>
    </row>
    <row r="352" spans="1:17" x14ac:dyDescent="0.3">
      <c r="A352">
        <v>1351</v>
      </c>
      <c r="B352" t="s">
        <v>196</v>
      </c>
      <c r="C352" t="s">
        <v>15</v>
      </c>
      <c r="D352" t="s">
        <v>11</v>
      </c>
      <c r="E352">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1495</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3 days</v>
      </c>
    </row>
    <row r="353" spans="1:17" x14ac:dyDescent="0.3">
      <c r="A353">
        <v>1352</v>
      </c>
      <c r="B353" t="s">
        <v>369</v>
      </c>
      <c r="C353" t="s">
        <v>46</v>
      </c>
      <c r="D353" t="s">
        <v>11</v>
      </c>
      <c r="E353">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479</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354" spans="1:17" x14ac:dyDescent="0.3">
      <c r="A354">
        <v>1353</v>
      </c>
      <c r="B354" t="s">
        <v>1071</v>
      </c>
      <c r="C354" t="s">
        <v>15</v>
      </c>
      <c r="D354" t="s">
        <v>11</v>
      </c>
      <c r="E354">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493</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8 days</v>
      </c>
    </row>
    <row r="355" spans="1:17" x14ac:dyDescent="0.3">
      <c r="A355">
        <v>1354</v>
      </c>
      <c r="B355" t="s">
        <v>282</v>
      </c>
      <c r="C355" t="s">
        <v>20</v>
      </c>
      <c r="D355" t="s">
        <v>24</v>
      </c>
      <c r="E35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2417</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13 days</v>
      </c>
    </row>
    <row r="357" spans="1:17" x14ac:dyDescent="0.3">
      <c r="A357">
        <v>1356</v>
      </c>
      <c r="B357" t="s">
        <v>1029</v>
      </c>
      <c r="C357" t="s">
        <v>15</v>
      </c>
      <c r="D357" t="s">
        <v>24</v>
      </c>
      <c r="E357">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432</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6 days</v>
      </c>
    </row>
    <row r="358" spans="1:17" x14ac:dyDescent="0.3">
      <c r="A358">
        <v>1357</v>
      </c>
      <c r="B358" t="s">
        <v>79</v>
      </c>
      <c r="C358" t="s">
        <v>10</v>
      </c>
      <c r="D358" t="s">
        <v>16</v>
      </c>
      <c r="E358">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1835</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9 days</v>
      </c>
    </row>
    <row r="363" spans="1:17" x14ac:dyDescent="0.3">
      <c r="A363">
        <v>1362</v>
      </c>
      <c r="B363" t="s">
        <v>961</v>
      </c>
      <c r="C363" t="s">
        <v>10</v>
      </c>
      <c r="D363" t="s">
        <v>24</v>
      </c>
      <c r="E363">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1384</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15 days</v>
      </c>
    </row>
    <row r="366" spans="1:17" x14ac:dyDescent="0.3">
      <c r="A366">
        <v>1365</v>
      </c>
      <c r="B366" t="s">
        <v>794</v>
      </c>
      <c r="C366" t="s">
        <v>23</v>
      </c>
      <c r="D366" t="s">
        <v>16</v>
      </c>
      <c r="E366">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1042</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67" spans="1:17" x14ac:dyDescent="0.3">
      <c r="A367">
        <v>1366</v>
      </c>
      <c r="B367" t="s">
        <v>470</v>
      </c>
      <c r="C367" t="s">
        <v>23</v>
      </c>
      <c r="D367" t="s">
        <v>16</v>
      </c>
      <c r="E367">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2390</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16 days</v>
      </c>
    </row>
    <row r="368" spans="1:17" x14ac:dyDescent="0.3">
      <c r="A368">
        <v>1367</v>
      </c>
      <c r="B368" t="s">
        <v>538</v>
      </c>
      <c r="C368" t="s">
        <v>15</v>
      </c>
      <c r="D368" t="s">
        <v>24</v>
      </c>
      <c r="E368">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2271</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19 days</v>
      </c>
    </row>
    <row r="369" spans="1:17" x14ac:dyDescent="0.3">
      <c r="A369">
        <v>1368</v>
      </c>
      <c r="B369" t="s">
        <v>337</v>
      </c>
      <c r="C369" t="s">
        <v>15</v>
      </c>
      <c r="D369" t="s">
        <v>24</v>
      </c>
      <c r="E369">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1763</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29 days</v>
      </c>
    </row>
    <row r="370" spans="1:17" x14ac:dyDescent="0.3">
      <c r="A370">
        <v>1369</v>
      </c>
      <c r="B370" t="s">
        <v>355</v>
      </c>
      <c r="C370" t="s">
        <v>15</v>
      </c>
      <c r="D370" t="s">
        <v>11</v>
      </c>
      <c r="E370">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958</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371" spans="1:17" x14ac:dyDescent="0.3">
      <c r="A371">
        <v>1370</v>
      </c>
      <c r="B371" t="s">
        <v>354</v>
      </c>
      <c r="C371" t="s">
        <v>46</v>
      </c>
      <c r="D371" t="s">
        <v>24</v>
      </c>
      <c r="E371">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1927</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9 days</v>
      </c>
    </row>
    <row r="372" spans="1:17" x14ac:dyDescent="0.3">
      <c r="A372">
        <v>1371</v>
      </c>
      <c r="B372" t="s">
        <v>453</v>
      </c>
      <c r="C372" t="s">
        <v>23</v>
      </c>
      <c r="D372" t="s">
        <v>24</v>
      </c>
      <c r="E372">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1970</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24 days</v>
      </c>
    </row>
    <row r="373" spans="1:17" x14ac:dyDescent="0.3">
      <c r="A373">
        <v>1372</v>
      </c>
      <c r="B373" t="s">
        <v>659</v>
      </c>
      <c r="C373" t="s">
        <v>15</v>
      </c>
      <c r="D373" t="s">
        <v>11</v>
      </c>
      <c r="E373">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2233</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11 days</v>
      </c>
    </row>
    <row r="376" spans="1:17" x14ac:dyDescent="0.3">
      <c r="A376">
        <v>1375</v>
      </c>
      <c r="B376" t="s">
        <v>410</v>
      </c>
      <c r="C376" t="s">
        <v>33</v>
      </c>
      <c r="D376" t="s">
        <v>24</v>
      </c>
      <c r="E376">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2429</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25 days</v>
      </c>
    </row>
    <row r="380" spans="1:17" x14ac:dyDescent="0.3">
      <c r="A380">
        <v>1379</v>
      </c>
      <c r="B380" t="s">
        <v>36</v>
      </c>
      <c r="C380" t="s">
        <v>15</v>
      </c>
      <c r="D380" t="s">
        <v>16</v>
      </c>
      <c r="E380">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2431</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27 days</v>
      </c>
    </row>
    <row r="381" spans="1:17" x14ac:dyDescent="0.3">
      <c r="A381">
        <v>1380</v>
      </c>
      <c r="B381" t="s">
        <v>861</v>
      </c>
      <c r="C381" t="s">
        <v>20</v>
      </c>
      <c r="D381" t="s">
        <v>16</v>
      </c>
      <c r="E381">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1876</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385" spans="1:17" x14ac:dyDescent="0.3">
      <c r="A385">
        <v>1384</v>
      </c>
      <c r="B385" t="s">
        <v>54</v>
      </c>
      <c r="C385" t="s">
        <v>20</v>
      </c>
      <c r="D385" t="s">
        <v>11</v>
      </c>
      <c r="E38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411</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386" spans="1:17" x14ac:dyDescent="0.3">
      <c r="A386">
        <v>1385</v>
      </c>
      <c r="B386" t="s">
        <v>50</v>
      </c>
      <c r="C386" t="s">
        <v>33</v>
      </c>
      <c r="D386" t="s">
        <v>11</v>
      </c>
      <c r="E386">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198</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16 days</v>
      </c>
    </row>
    <row r="388" spans="1:17" x14ac:dyDescent="0.3">
      <c r="A388">
        <v>1387</v>
      </c>
      <c r="B388" t="s">
        <v>251</v>
      </c>
      <c r="C388" t="s">
        <v>15</v>
      </c>
      <c r="D388" t="s">
        <v>24</v>
      </c>
      <c r="E388">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2349</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6 days</v>
      </c>
    </row>
    <row r="390" spans="1:17" x14ac:dyDescent="0.3">
      <c r="A390">
        <v>1389</v>
      </c>
      <c r="B390" t="s">
        <v>863</v>
      </c>
      <c r="C390" t="s">
        <v>15</v>
      </c>
      <c r="D390" t="s">
        <v>11</v>
      </c>
      <c r="E390">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1164</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7 days</v>
      </c>
    </row>
    <row r="392" spans="1:17" x14ac:dyDescent="0.3">
      <c r="A392">
        <v>1391</v>
      </c>
      <c r="B392" t="s">
        <v>267</v>
      </c>
      <c r="C392" t="s">
        <v>10</v>
      </c>
      <c r="D392" t="s">
        <v>16</v>
      </c>
      <c r="E392">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1815</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19 days</v>
      </c>
    </row>
    <row r="394" spans="1:17" x14ac:dyDescent="0.3">
      <c r="A394">
        <v>1393</v>
      </c>
      <c r="B394" t="s">
        <v>683</v>
      </c>
      <c r="C394" t="s">
        <v>23</v>
      </c>
      <c r="D394" t="s">
        <v>16</v>
      </c>
      <c r="E394">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2568</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11 days</v>
      </c>
    </row>
    <row r="395" spans="1:17" x14ac:dyDescent="0.3">
      <c r="A395">
        <v>1394</v>
      </c>
      <c r="B395" t="s">
        <v>627</v>
      </c>
      <c r="C395" t="s">
        <v>10</v>
      </c>
      <c r="D395" t="s">
        <v>16</v>
      </c>
      <c r="E39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1570</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17 days</v>
      </c>
    </row>
    <row r="396" spans="1:17" x14ac:dyDescent="0.3">
      <c r="A396">
        <v>1395</v>
      </c>
      <c r="B396" t="s">
        <v>758</v>
      </c>
      <c r="C396" t="s">
        <v>23</v>
      </c>
      <c r="D396" t="s">
        <v>16</v>
      </c>
      <c r="E396">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656</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18 days</v>
      </c>
    </row>
    <row r="398" spans="1:17" x14ac:dyDescent="0.3">
      <c r="A398">
        <v>1397</v>
      </c>
      <c r="B398" t="s">
        <v>407</v>
      </c>
      <c r="C398" t="s">
        <v>10</v>
      </c>
      <c r="D398" t="s">
        <v>11</v>
      </c>
      <c r="E398">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421</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25 days</v>
      </c>
    </row>
    <row r="401" spans="1:17" x14ac:dyDescent="0.3">
      <c r="A401">
        <v>1400</v>
      </c>
      <c r="B401" t="s">
        <v>435</v>
      </c>
      <c r="C401" t="s">
        <v>10</v>
      </c>
      <c r="D401" t="s">
        <v>24</v>
      </c>
      <c r="E401">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1383</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14 days</v>
      </c>
    </row>
    <row r="403" spans="1:17" x14ac:dyDescent="0.3">
      <c r="A403">
        <v>1402</v>
      </c>
      <c r="B403" t="s">
        <v>169</v>
      </c>
      <c r="C403" t="s">
        <v>15</v>
      </c>
      <c r="D403" t="s">
        <v>16</v>
      </c>
      <c r="E403">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2248</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27 days</v>
      </c>
    </row>
    <row r="405" spans="1:17" x14ac:dyDescent="0.3">
      <c r="A405">
        <v>1404</v>
      </c>
      <c r="B405" t="s">
        <v>97</v>
      </c>
      <c r="C405" t="s">
        <v>20</v>
      </c>
      <c r="D405" t="s">
        <v>11</v>
      </c>
      <c r="E40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358</v>
      </c>
      <c r="L405" cm="1">
        <f t="array" aca="1" ref="L405" ca="1">_xlfn.IFS(EmployeeData[[#This Row],[Status]]="Exited",DATEDIF(EmployeeData[[#This Row],[Join Date]], EmployeeData[[#This Row],[Exit Date]], "Y"),EmployeeData[[#This Row],[Status]]="Active",DATEDIF(EmployeeData[[#This Row],[Join Date]], TODAY(), "Y"))</f>
        <v>0</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23 days</v>
      </c>
    </row>
    <row r="406" spans="1:17" x14ac:dyDescent="0.3">
      <c r="A406">
        <v>1405</v>
      </c>
      <c r="B406" t="s">
        <v>887</v>
      </c>
      <c r="C406" t="s">
        <v>46</v>
      </c>
      <c r="D406" t="s">
        <v>24</v>
      </c>
      <c r="E406">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1371</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 days</v>
      </c>
    </row>
    <row r="410" spans="1:17" x14ac:dyDescent="0.3">
      <c r="A410">
        <v>1409</v>
      </c>
      <c r="B410" t="s">
        <v>878</v>
      </c>
      <c r="C410" t="s">
        <v>46</v>
      </c>
      <c r="D410" t="s">
        <v>11</v>
      </c>
      <c r="E410">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1394</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411" spans="1:17" x14ac:dyDescent="0.3">
      <c r="A411">
        <v>1410</v>
      </c>
      <c r="B411" t="s">
        <v>839</v>
      </c>
      <c r="C411" t="s">
        <v>15</v>
      </c>
      <c r="D411" t="s">
        <v>24</v>
      </c>
      <c r="E411">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972</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414" spans="1:17" x14ac:dyDescent="0.3">
      <c r="A414">
        <v>1413</v>
      </c>
      <c r="B414" t="s">
        <v>937</v>
      </c>
      <c r="C414" t="s">
        <v>10</v>
      </c>
      <c r="D414" t="s">
        <v>24</v>
      </c>
      <c r="E414">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2490</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25 days</v>
      </c>
    </row>
    <row r="415" spans="1:17" x14ac:dyDescent="0.3">
      <c r="A415">
        <v>1414</v>
      </c>
      <c r="B415" t="s">
        <v>972</v>
      </c>
      <c r="C415" t="s">
        <v>23</v>
      </c>
      <c r="D415" t="s">
        <v>24</v>
      </c>
      <c r="E41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1279</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 days</v>
      </c>
    </row>
    <row r="417" spans="1:17" x14ac:dyDescent="0.3">
      <c r="A417">
        <v>1416</v>
      </c>
      <c r="B417" t="s">
        <v>457</v>
      </c>
      <c r="C417" t="s">
        <v>10</v>
      </c>
      <c r="D417" t="s">
        <v>16</v>
      </c>
      <c r="E417">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1016</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12 days</v>
      </c>
    </row>
    <row r="419" spans="1:17" x14ac:dyDescent="0.3">
      <c r="A419">
        <v>1418</v>
      </c>
      <c r="B419" t="s">
        <v>146</v>
      </c>
      <c r="C419" t="s">
        <v>33</v>
      </c>
      <c r="D419" t="s">
        <v>11</v>
      </c>
      <c r="E419">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804</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420" spans="1:17" x14ac:dyDescent="0.3">
      <c r="A420">
        <v>1419</v>
      </c>
      <c r="B420" t="s">
        <v>527</v>
      </c>
      <c r="C420" t="s">
        <v>10</v>
      </c>
      <c r="D420" t="s">
        <v>24</v>
      </c>
      <c r="E420">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2908</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16 days</v>
      </c>
    </row>
    <row r="423" spans="1:17" x14ac:dyDescent="0.3">
      <c r="A423">
        <v>1422</v>
      </c>
      <c r="B423" t="s">
        <v>464</v>
      </c>
      <c r="C423" t="s">
        <v>46</v>
      </c>
      <c r="D423" t="s">
        <v>16</v>
      </c>
      <c r="E423">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832</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10 days</v>
      </c>
    </row>
    <row r="424" spans="1:17" x14ac:dyDescent="0.3">
      <c r="A424">
        <v>1423</v>
      </c>
      <c r="B424" t="s">
        <v>1060</v>
      </c>
      <c r="C424" t="s">
        <v>46</v>
      </c>
      <c r="D424" t="s">
        <v>11</v>
      </c>
      <c r="E424">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1469</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8 days</v>
      </c>
    </row>
    <row r="426" spans="1:17" x14ac:dyDescent="0.3">
      <c r="A426">
        <v>1425</v>
      </c>
      <c r="B426" t="s">
        <v>909</v>
      </c>
      <c r="C426" t="s">
        <v>15</v>
      </c>
      <c r="D426" t="s">
        <v>24</v>
      </c>
      <c r="E426">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1874</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17 days</v>
      </c>
    </row>
    <row r="427" spans="1:17" x14ac:dyDescent="0.3">
      <c r="A427">
        <v>1426</v>
      </c>
      <c r="B427" t="s">
        <v>248</v>
      </c>
      <c r="C427" t="s">
        <v>46</v>
      </c>
      <c r="D427" t="s">
        <v>24</v>
      </c>
      <c r="E427">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2240</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428" spans="1:17" x14ac:dyDescent="0.3">
      <c r="A428">
        <v>1427</v>
      </c>
      <c r="B428" t="s">
        <v>918</v>
      </c>
      <c r="C428" t="s">
        <v>46</v>
      </c>
      <c r="D428" t="s">
        <v>24</v>
      </c>
      <c r="E428">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1035</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0 days</v>
      </c>
    </row>
    <row r="429" spans="1:17" x14ac:dyDescent="0.3">
      <c r="A429">
        <v>1428</v>
      </c>
      <c r="B429" t="s">
        <v>551</v>
      </c>
      <c r="C429" t="s">
        <v>23</v>
      </c>
      <c r="D429" t="s">
        <v>24</v>
      </c>
      <c r="E429">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337</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 days</v>
      </c>
    </row>
    <row r="430" spans="1:17" x14ac:dyDescent="0.3">
      <c r="A430">
        <v>1429</v>
      </c>
      <c r="B430" t="s">
        <v>491</v>
      </c>
      <c r="C430" t="s">
        <v>10</v>
      </c>
      <c r="D430" t="s">
        <v>16</v>
      </c>
      <c r="E430">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2995</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12 days</v>
      </c>
    </row>
    <row r="431" spans="1:17" x14ac:dyDescent="0.3">
      <c r="A431">
        <v>1430</v>
      </c>
      <c r="B431" t="s">
        <v>700</v>
      </c>
      <c r="C431" t="s">
        <v>20</v>
      </c>
      <c r="D431" t="s">
        <v>16</v>
      </c>
      <c r="E431">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575</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29 days</v>
      </c>
    </row>
    <row r="433" spans="1:17" x14ac:dyDescent="0.3">
      <c r="A433">
        <v>1432</v>
      </c>
      <c r="B433" t="s">
        <v>963</v>
      </c>
      <c r="C433" t="s">
        <v>23</v>
      </c>
      <c r="D433" t="s">
        <v>16</v>
      </c>
      <c r="E433">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260</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17 days</v>
      </c>
    </row>
    <row r="434" spans="1:17" x14ac:dyDescent="0.3">
      <c r="A434">
        <v>1433</v>
      </c>
      <c r="B434" t="s">
        <v>962</v>
      </c>
      <c r="C434" t="s">
        <v>46</v>
      </c>
      <c r="D434" t="s">
        <v>16</v>
      </c>
      <c r="E434">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2267</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15 days</v>
      </c>
    </row>
    <row r="435" spans="1:17" x14ac:dyDescent="0.3">
      <c r="A435">
        <v>1434</v>
      </c>
      <c r="B435" t="s">
        <v>588</v>
      </c>
      <c r="C435" t="s">
        <v>20</v>
      </c>
      <c r="D435" t="s">
        <v>24</v>
      </c>
      <c r="E43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860</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9 days</v>
      </c>
    </row>
    <row r="436" spans="1:17" x14ac:dyDescent="0.3">
      <c r="A436">
        <v>1435</v>
      </c>
      <c r="B436" t="s">
        <v>415</v>
      </c>
      <c r="C436" t="s">
        <v>10</v>
      </c>
      <c r="D436" t="s">
        <v>16</v>
      </c>
      <c r="E436">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2333</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21 days</v>
      </c>
    </row>
    <row r="437" spans="1:17" x14ac:dyDescent="0.3">
      <c r="A437">
        <v>1436</v>
      </c>
      <c r="B437" t="s">
        <v>574</v>
      </c>
      <c r="C437" t="s">
        <v>10</v>
      </c>
      <c r="D437" t="s">
        <v>16</v>
      </c>
      <c r="E437">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706</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6 days</v>
      </c>
    </row>
    <row r="438" spans="1:17" x14ac:dyDescent="0.3">
      <c r="A438">
        <v>1437</v>
      </c>
      <c r="B438" t="s">
        <v>212</v>
      </c>
      <c r="C438" t="s">
        <v>15</v>
      </c>
      <c r="D438" t="s">
        <v>11</v>
      </c>
      <c r="E438">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537</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21 days</v>
      </c>
    </row>
    <row r="439" spans="1:17" x14ac:dyDescent="0.3">
      <c r="A439">
        <v>1438</v>
      </c>
      <c r="B439" t="s">
        <v>303</v>
      </c>
      <c r="C439" t="s">
        <v>23</v>
      </c>
      <c r="D439" t="s">
        <v>16</v>
      </c>
      <c r="E439">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2935</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442" spans="1:17" x14ac:dyDescent="0.3">
      <c r="A442">
        <v>1441</v>
      </c>
      <c r="B442" t="s">
        <v>615</v>
      </c>
      <c r="C442" t="s">
        <v>46</v>
      </c>
      <c r="D442" t="s">
        <v>24</v>
      </c>
      <c r="E442">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1786</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21 days</v>
      </c>
    </row>
    <row r="444" spans="1:17" x14ac:dyDescent="0.3">
      <c r="A444">
        <v>1443</v>
      </c>
      <c r="B444" t="s">
        <v>736</v>
      </c>
      <c r="C444" t="s">
        <v>20</v>
      </c>
      <c r="D444" t="s">
        <v>24</v>
      </c>
      <c r="E444">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2235</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13 days</v>
      </c>
    </row>
    <row r="445" spans="1:17" x14ac:dyDescent="0.3">
      <c r="A445">
        <v>1444</v>
      </c>
      <c r="B445" t="s">
        <v>900</v>
      </c>
      <c r="C445" t="s">
        <v>15</v>
      </c>
      <c r="D445" t="s">
        <v>11</v>
      </c>
      <c r="E44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450</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446" spans="1:17" x14ac:dyDescent="0.3">
      <c r="A446">
        <v>1445</v>
      </c>
      <c r="B446" t="s">
        <v>998</v>
      </c>
      <c r="C446" t="s">
        <v>15</v>
      </c>
      <c r="D446" t="s">
        <v>11</v>
      </c>
      <c r="E446">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517</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 days</v>
      </c>
    </row>
    <row r="448" spans="1:17" x14ac:dyDescent="0.3">
      <c r="A448">
        <v>1447</v>
      </c>
      <c r="B448" t="s">
        <v>1046</v>
      </c>
      <c r="C448" t="s">
        <v>23</v>
      </c>
      <c r="D448" t="s">
        <v>24</v>
      </c>
      <c r="E448">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1536</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450" spans="1:17" x14ac:dyDescent="0.3">
      <c r="A450">
        <v>1449</v>
      </c>
      <c r="B450" t="s">
        <v>826</v>
      </c>
      <c r="C450" t="s">
        <v>15</v>
      </c>
      <c r="D450" t="s">
        <v>24</v>
      </c>
      <c r="E450">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1890</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3 days</v>
      </c>
    </row>
    <row r="451" spans="1:17" x14ac:dyDescent="0.3">
      <c r="A451">
        <v>1450</v>
      </c>
      <c r="B451" t="s">
        <v>1094</v>
      </c>
      <c r="C451" t="s">
        <v>46</v>
      </c>
      <c r="D451" t="s">
        <v>11</v>
      </c>
      <c r="E451">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3053</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11 days</v>
      </c>
    </row>
    <row r="452" spans="1:17" x14ac:dyDescent="0.3">
      <c r="A452">
        <v>1451</v>
      </c>
      <c r="B452" t="s">
        <v>214</v>
      </c>
      <c r="C452" t="s">
        <v>23</v>
      </c>
      <c r="D452" t="s">
        <v>24</v>
      </c>
      <c r="E452">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2356</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13 days</v>
      </c>
    </row>
    <row r="454" spans="1:17" x14ac:dyDescent="0.3">
      <c r="A454">
        <v>1453</v>
      </c>
      <c r="B454" t="s">
        <v>575</v>
      </c>
      <c r="C454" t="s">
        <v>46</v>
      </c>
      <c r="D454" t="s">
        <v>11</v>
      </c>
      <c r="E454">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458</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 days</v>
      </c>
    </row>
    <row r="455" spans="1:17" x14ac:dyDescent="0.3">
      <c r="A455">
        <v>1454</v>
      </c>
      <c r="B455" t="s">
        <v>353</v>
      </c>
      <c r="C455" t="s">
        <v>15</v>
      </c>
      <c r="D455" t="s">
        <v>24</v>
      </c>
      <c r="E45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2474</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9 days</v>
      </c>
    </row>
    <row r="457" spans="1:17" x14ac:dyDescent="0.3">
      <c r="A457">
        <v>1456</v>
      </c>
      <c r="B457" t="s">
        <v>598</v>
      </c>
      <c r="C457" t="s">
        <v>15</v>
      </c>
      <c r="D457" t="s">
        <v>16</v>
      </c>
      <c r="E457">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474</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458" spans="1:17" x14ac:dyDescent="0.3">
      <c r="A458">
        <v>1457</v>
      </c>
      <c r="B458" t="s">
        <v>335</v>
      </c>
      <c r="C458" t="s">
        <v>10</v>
      </c>
      <c r="D458" t="s">
        <v>24</v>
      </c>
      <c r="E458">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1629</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17 days</v>
      </c>
    </row>
    <row r="459" spans="1:17" x14ac:dyDescent="0.3">
      <c r="A459">
        <v>1458</v>
      </c>
      <c r="B459" t="s">
        <v>51</v>
      </c>
      <c r="C459" t="s">
        <v>33</v>
      </c>
      <c r="D459" t="s">
        <v>11</v>
      </c>
      <c r="E459">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727</v>
      </c>
      <c r="L460" cm="1">
        <f t="array" aca="1" ref="L460" ca="1">_xlfn.IFS(EmployeeData[[#This Row],[Status]]="Exited",DATEDIF(EmployeeData[[#This Row],[Join Date]], EmployeeData[[#This Row],[Exit Date]], "Y"),EmployeeData[[#This Row],[Status]]="Active",DATEDIF(EmployeeData[[#This Row],[Join Date]], TODAY(), "Y"))</f>
        <v>1</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461" spans="1:17" x14ac:dyDescent="0.3">
      <c r="A461">
        <v>1460</v>
      </c>
      <c r="B461" t="s">
        <v>604</v>
      </c>
      <c r="C461" t="s">
        <v>23</v>
      </c>
      <c r="D461" t="s">
        <v>24</v>
      </c>
      <c r="E461">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1165</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8 days</v>
      </c>
    </row>
    <row r="462" spans="1:17" x14ac:dyDescent="0.3">
      <c r="A462">
        <v>1461</v>
      </c>
      <c r="B462" t="s">
        <v>879</v>
      </c>
      <c r="C462" t="s">
        <v>15</v>
      </c>
      <c r="D462" t="s">
        <v>24</v>
      </c>
      <c r="E462">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1118</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464" spans="1:17" x14ac:dyDescent="0.3">
      <c r="A464">
        <v>1463</v>
      </c>
      <c r="B464" t="s">
        <v>385</v>
      </c>
      <c r="C464" t="s">
        <v>15</v>
      </c>
      <c r="D464" t="s">
        <v>16</v>
      </c>
      <c r="E464">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2923</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 days</v>
      </c>
    </row>
    <row r="465" spans="1:17" x14ac:dyDescent="0.3">
      <c r="A465">
        <v>1464</v>
      </c>
      <c r="B465" t="s">
        <v>400</v>
      </c>
      <c r="C465" t="s">
        <v>33</v>
      </c>
      <c r="D465" t="s">
        <v>16</v>
      </c>
      <c r="E46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2676</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30 days</v>
      </c>
    </row>
    <row r="466" spans="1:17" x14ac:dyDescent="0.3">
      <c r="A466">
        <v>1465</v>
      </c>
      <c r="B466" t="s">
        <v>510</v>
      </c>
      <c r="C466" t="s">
        <v>33</v>
      </c>
      <c r="D466" t="s">
        <v>16</v>
      </c>
      <c r="E466">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1104</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8 days</v>
      </c>
    </row>
    <row r="468" spans="1:17" x14ac:dyDescent="0.3">
      <c r="A468">
        <v>1467</v>
      </c>
      <c r="B468" t="s">
        <v>318</v>
      </c>
      <c r="C468" t="s">
        <v>10</v>
      </c>
      <c r="D468" t="s">
        <v>16</v>
      </c>
      <c r="E468">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2634</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16 days</v>
      </c>
    </row>
    <row r="470" spans="1:17" x14ac:dyDescent="0.3">
      <c r="A470">
        <v>1469</v>
      </c>
      <c r="B470" t="s">
        <v>155</v>
      </c>
      <c r="C470" t="s">
        <v>20</v>
      </c>
      <c r="D470" t="s">
        <v>24</v>
      </c>
      <c r="E470">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982</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472" spans="1:17" x14ac:dyDescent="0.3">
      <c r="A472">
        <v>1471</v>
      </c>
      <c r="B472" t="s">
        <v>783</v>
      </c>
      <c r="C472" t="s">
        <v>46</v>
      </c>
      <c r="D472" t="s">
        <v>16</v>
      </c>
      <c r="E472">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2412</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8 days</v>
      </c>
    </row>
    <row r="474" spans="1:17" x14ac:dyDescent="0.3">
      <c r="A474">
        <v>1473</v>
      </c>
      <c r="B474" t="s">
        <v>953</v>
      </c>
      <c r="C474" t="s">
        <v>15</v>
      </c>
      <c r="D474" t="s">
        <v>24</v>
      </c>
      <c r="E474">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1037</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 days</v>
      </c>
    </row>
    <row r="476" spans="1:17" x14ac:dyDescent="0.3">
      <c r="A476">
        <v>1475</v>
      </c>
      <c r="B476" t="s">
        <v>76</v>
      </c>
      <c r="C476" t="s">
        <v>46</v>
      </c>
      <c r="D476" t="s">
        <v>24</v>
      </c>
      <c r="E476">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319</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477" spans="1:17" x14ac:dyDescent="0.3">
      <c r="A477">
        <v>1476</v>
      </c>
      <c r="B477" t="s">
        <v>1025</v>
      </c>
      <c r="C477" t="s">
        <v>20</v>
      </c>
      <c r="D477" t="s">
        <v>24</v>
      </c>
      <c r="E477">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311</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7 days</v>
      </c>
    </row>
    <row r="481" spans="1:17" x14ac:dyDescent="0.3">
      <c r="A481">
        <v>1480</v>
      </c>
      <c r="B481" t="s">
        <v>896</v>
      </c>
      <c r="C481" t="s">
        <v>15</v>
      </c>
      <c r="D481" t="s">
        <v>24</v>
      </c>
      <c r="E481">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2059</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21 days</v>
      </c>
    </row>
    <row r="482" spans="1:17" x14ac:dyDescent="0.3">
      <c r="A482">
        <v>1481</v>
      </c>
      <c r="B482" t="s">
        <v>447</v>
      </c>
      <c r="C482" t="s">
        <v>10</v>
      </c>
      <c r="D482" t="s">
        <v>16</v>
      </c>
      <c r="E482">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2157</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27 days</v>
      </c>
    </row>
    <row r="483" spans="1:17" x14ac:dyDescent="0.3">
      <c r="A483">
        <v>1482</v>
      </c>
      <c r="B483" t="s">
        <v>334</v>
      </c>
      <c r="C483" t="s">
        <v>33</v>
      </c>
      <c r="D483" t="s">
        <v>11</v>
      </c>
      <c r="E483">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2440</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484" spans="1:17" x14ac:dyDescent="0.3">
      <c r="A484">
        <v>1483</v>
      </c>
      <c r="B484" t="s">
        <v>725</v>
      </c>
      <c r="C484" t="s">
        <v>23</v>
      </c>
      <c r="D484" t="s">
        <v>24</v>
      </c>
      <c r="E484">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2381</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486" spans="1:17" x14ac:dyDescent="0.3">
      <c r="A486">
        <v>1485</v>
      </c>
      <c r="B486" t="s">
        <v>945</v>
      </c>
      <c r="C486" t="s">
        <v>15</v>
      </c>
      <c r="D486" t="s">
        <v>11</v>
      </c>
      <c r="E486">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986</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12 days</v>
      </c>
    </row>
    <row r="487" spans="1:17" x14ac:dyDescent="0.3">
      <c r="A487">
        <v>1486</v>
      </c>
      <c r="B487" t="s">
        <v>938</v>
      </c>
      <c r="C487" t="s">
        <v>10</v>
      </c>
      <c r="D487" t="s">
        <v>24</v>
      </c>
      <c r="E487">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2743</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4 days</v>
      </c>
    </row>
    <row r="488" spans="1:17" x14ac:dyDescent="0.3">
      <c r="A488">
        <v>1487</v>
      </c>
      <c r="B488" t="s">
        <v>880</v>
      </c>
      <c r="C488" t="s">
        <v>10</v>
      </c>
      <c r="D488" t="s">
        <v>16</v>
      </c>
      <c r="E488">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1444</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13 days</v>
      </c>
    </row>
    <row r="490" spans="1:17" x14ac:dyDescent="0.3">
      <c r="A490">
        <v>1489</v>
      </c>
      <c r="B490" t="s">
        <v>498</v>
      </c>
      <c r="C490" t="s">
        <v>23</v>
      </c>
      <c r="D490" t="s">
        <v>24</v>
      </c>
      <c r="E490">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2619</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 days</v>
      </c>
    </row>
    <row r="491" spans="1:17" x14ac:dyDescent="0.3">
      <c r="A491">
        <v>1490</v>
      </c>
      <c r="B491" t="s">
        <v>350</v>
      </c>
      <c r="C491" t="s">
        <v>23</v>
      </c>
      <c r="D491" t="s">
        <v>11</v>
      </c>
      <c r="E491">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792</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 days</v>
      </c>
    </row>
    <row r="492" spans="1:17" x14ac:dyDescent="0.3">
      <c r="A492">
        <v>1491</v>
      </c>
      <c r="B492" t="s">
        <v>1057</v>
      </c>
      <c r="C492" t="s">
        <v>10</v>
      </c>
      <c r="D492" t="s">
        <v>24</v>
      </c>
      <c r="E492">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2986</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3 days</v>
      </c>
    </row>
    <row r="493" spans="1:17" x14ac:dyDescent="0.3">
      <c r="A493">
        <v>1492</v>
      </c>
      <c r="B493" t="s">
        <v>316</v>
      </c>
      <c r="C493" t="s">
        <v>20</v>
      </c>
      <c r="D493" t="s">
        <v>16</v>
      </c>
      <c r="E493">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1409</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9 days</v>
      </c>
    </row>
    <row r="494" spans="1:17" x14ac:dyDescent="0.3">
      <c r="A494">
        <v>1493</v>
      </c>
      <c r="B494" t="s">
        <v>884</v>
      </c>
      <c r="C494" t="s">
        <v>10</v>
      </c>
      <c r="D494" t="s">
        <v>16</v>
      </c>
      <c r="E494">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2787</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18 days</v>
      </c>
    </row>
    <row r="495" spans="1:17" x14ac:dyDescent="0.3">
      <c r="A495">
        <v>1494</v>
      </c>
      <c r="B495" t="s">
        <v>113</v>
      </c>
      <c r="C495" t="s">
        <v>33</v>
      </c>
      <c r="D495" t="s">
        <v>16</v>
      </c>
      <c r="E49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1055</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20 days</v>
      </c>
    </row>
    <row r="496" spans="1:17" x14ac:dyDescent="0.3">
      <c r="A496">
        <v>1495</v>
      </c>
      <c r="B496" t="s">
        <v>445</v>
      </c>
      <c r="C496" t="s">
        <v>15</v>
      </c>
      <c r="D496" t="s">
        <v>16</v>
      </c>
      <c r="E496">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2925</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3 days</v>
      </c>
    </row>
    <row r="498" spans="1:17" x14ac:dyDescent="0.3">
      <c r="A498">
        <v>1497</v>
      </c>
      <c r="B498" t="s">
        <v>613</v>
      </c>
      <c r="C498" t="s">
        <v>23</v>
      </c>
      <c r="D498" t="s">
        <v>11</v>
      </c>
      <c r="E498">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1951</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5 days</v>
      </c>
    </row>
    <row r="499" spans="1:17" x14ac:dyDescent="0.3">
      <c r="A499">
        <v>1498</v>
      </c>
      <c r="B499" t="s">
        <v>642</v>
      </c>
      <c r="C499" t="s">
        <v>23</v>
      </c>
      <c r="D499" t="s">
        <v>24</v>
      </c>
      <c r="E499">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1676</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3 days</v>
      </c>
    </row>
    <row r="500" spans="1:17" x14ac:dyDescent="0.3">
      <c r="A500">
        <v>1499</v>
      </c>
      <c r="B500" t="s">
        <v>614</v>
      </c>
      <c r="C500" t="s">
        <v>20</v>
      </c>
      <c r="D500" t="s">
        <v>24</v>
      </c>
      <c r="E500">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3050</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8 days</v>
      </c>
    </row>
    <row r="501" spans="1:17" x14ac:dyDescent="0.3">
      <c r="A501">
        <v>1500</v>
      </c>
      <c r="B501" t="s">
        <v>249</v>
      </c>
      <c r="C501" t="s">
        <v>23</v>
      </c>
      <c r="D501" t="s">
        <v>16</v>
      </c>
      <c r="E501">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1603</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22 days</v>
      </c>
    </row>
    <row r="503" spans="1:17" x14ac:dyDescent="0.3">
      <c r="A503">
        <v>1502</v>
      </c>
      <c r="B503" t="s">
        <v>298</v>
      </c>
      <c r="C503" t="s">
        <v>46</v>
      </c>
      <c r="D503" t="s">
        <v>11</v>
      </c>
      <c r="E503">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1993</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16 days</v>
      </c>
    </row>
    <row r="504" spans="1:17" x14ac:dyDescent="0.3">
      <c r="A504">
        <v>1503</v>
      </c>
      <c r="B504" t="s">
        <v>246</v>
      </c>
      <c r="C504" t="s">
        <v>15</v>
      </c>
      <c r="D504" t="s">
        <v>11</v>
      </c>
      <c r="E504">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1161</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4 days</v>
      </c>
    </row>
    <row r="505" spans="1:17" x14ac:dyDescent="0.3">
      <c r="A505">
        <v>1504</v>
      </c>
      <c r="B505" t="s">
        <v>1018</v>
      </c>
      <c r="C505" t="s">
        <v>33</v>
      </c>
      <c r="D505" t="s">
        <v>16</v>
      </c>
      <c r="E50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736</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508" spans="1:17" x14ac:dyDescent="0.3">
      <c r="A508">
        <v>1507</v>
      </c>
      <c r="B508" t="s">
        <v>751</v>
      </c>
      <c r="C508" t="s">
        <v>10</v>
      </c>
      <c r="D508" t="s">
        <v>24</v>
      </c>
      <c r="E508">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1102</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6 days</v>
      </c>
    </row>
    <row r="509" spans="1:17" x14ac:dyDescent="0.3">
      <c r="A509">
        <v>1508</v>
      </c>
      <c r="B509" t="s">
        <v>625</v>
      </c>
      <c r="C509" t="s">
        <v>23</v>
      </c>
      <c r="D509" t="s">
        <v>11</v>
      </c>
      <c r="E509">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475</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18 days</v>
      </c>
    </row>
    <row r="510" spans="1:17" x14ac:dyDescent="0.3">
      <c r="A510">
        <v>1509</v>
      </c>
      <c r="B510" t="s">
        <v>717</v>
      </c>
      <c r="C510" t="s">
        <v>23</v>
      </c>
      <c r="D510" t="s">
        <v>11</v>
      </c>
      <c r="E510">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694</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25 days</v>
      </c>
    </row>
    <row r="512" spans="1:17" x14ac:dyDescent="0.3">
      <c r="A512">
        <v>1511</v>
      </c>
      <c r="B512" t="s">
        <v>797</v>
      </c>
      <c r="C512" t="s">
        <v>15</v>
      </c>
      <c r="D512" t="s">
        <v>16</v>
      </c>
      <c r="E512">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228</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513" spans="1:17" x14ac:dyDescent="0.3">
      <c r="A513">
        <v>1512</v>
      </c>
      <c r="B513" t="s">
        <v>687</v>
      </c>
      <c r="C513" t="s">
        <v>15</v>
      </c>
      <c r="D513" t="s">
        <v>11</v>
      </c>
      <c r="E513">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1148</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516" spans="1:17" x14ac:dyDescent="0.3">
      <c r="A516">
        <v>1515</v>
      </c>
      <c r="B516" t="s">
        <v>395</v>
      </c>
      <c r="C516" t="s">
        <v>46</v>
      </c>
      <c r="D516" t="s">
        <v>11</v>
      </c>
      <c r="E516">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678</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517" spans="1:17" x14ac:dyDescent="0.3">
      <c r="A517">
        <v>1516</v>
      </c>
      <c r="B517" t="s">
        <v>439</v>
      </c>
      <c r="C517" t="s">
        <v>46</v>
      </c>
      <c r="D517" t="s">
        <v>24</v>
      </c>
      <c r="E517">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2732</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24 days</v>
      </c>
    </row>
    <row r="518" spans="1:17" x14ac:dyDescent="0.3">
      <c r="A518">
        <v>1517</v>
      </c>
      <c r="B518" t="s">
        <v>611</v>
      </c>
      <c r="C518" t="s">
        <v>15</v>
      </c>
      <c r="D518" t="s">
        <v>24</v>
      </c>
      <c r="E518">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1369</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0 days</v>
      </c>
    </row>
    <row r="521" spans="1:17" x14ac:dyDescent="0.3">
      <c r="A521">
        <v>1520</v>
      </c>
      <c r="B521" t="s">
        <v>509</v>
      </c>
      <c r="C521" t="s">
        <v>20</v>
      </c>
      <c r="D521" t="s">
        <v>16</v>
      </c>
      <c r="E521">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1997</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20 days</v>
      </c>
    </row>
    <row r="522" spans="1:17" x14ac:dyDescent="0.3">
      <c r="A522">
        <v>1521</v>
      </c>
      <c r="B522" t="s">
        <v>486</v>
      </c>
      <c r="C522" t="s">
        <v>23</v>
      </c>
      <c r="D522" t="s">
        <v>24</v>
      </c>
      <c r="E522">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229</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17 days</v>
      </c>
    </row>
    <row r="523" spans="1:17" x14ac:dyDescent="0.3">
      <c r="A523">
        <v>1522</v>
      </c>
      <c r="B523" t="s">
        <v>955</v>
      </c>
      <c r="C523" t="s">
        <v>46</v>
      </c>
      <c r="D523" t="s">
        <v>16</v>
      </c>
      <c r="E523">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1057</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525" spans="1:17" x14ac:dyDescent="0.3">
      <c r="A525">
        <v>1524</v>
      </c>
      <c r="B525" t="s">
        <v>800</v>
      </c>
      <c r="C525" t="s">
        <v>10</v>
      </c>
      <c r="D525" t="s">
        <v>11</v>
      </c>
      <c r="E52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2079</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10 days</v>
      </c>
    </row>
    <row r="527" spans="1:17" x14ac:dyDescent="0.3">
      <c r="A527">
        <v>1526</v>
      </c>
      <c r="B527" t="s">
        <v>921</v>
      </c>
      <c r="C527" t="s">
        <v>15</v>
      </c>
      <c r="D527" t="s">
        <v>24</v>
      </c>
      <c r="E527">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964</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21 days</v>
      </c>
    </row>
    <row r="528" spans="1:17" x14ac:dyDescent="0.3">
      <c r="A528">
        <v>1527</v>
      </c>
      <c r="B528" t="s">
        <v>414</v>
      </c>
      <c r="C528" t="s">
        <v>46</v>
      </c>
      <c r="D528" t="s">
        <v>16</v>
      </c>
      <c r="E528">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847</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529" spans="1:17" x14ac:dyDescent="0.3">
      <c r="A529">
        <v>1528</v>
      </c>
      <c r="B529" t="s">
        <v>157</v>
      </c>
      <c r="C529" t="s">
        <v>15</v>
      </c>
      <c r="D529" t="s">
        <v>11</v>
      </c>
      <c r="E529">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279</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6 days</v>
      </c>
    </row>
    <row r="531" spans="1:17" x14ac:dyDescent="0.3">
      <c r="A531">
        <v>1530</v>
      </c>
      <c r="B531" t="s">
        <v>380</v>
      </c>
      <c r="C531" t="s">
        <v>15</v>
      </c>
      <c r="D531" t="s">
        <v>24</v>
      </c>
      <c r="E531">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1302</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24 days</v>
      </c>
    </row>
    <row r="533" spans="1:17" x14ac:dyDescent="0.3">
      <c r="A533">
        <v>1532</v>
      </c>
      <c r="B533" t="s">
        <v>1074</v>
      </c>
      <c r="C533" t="s">
        <v>10</v>
      </c>
      <c r="D533" t="s">
        <v>16</v>
      </c>
      <c r="E533">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3022</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536" spans="1:17" x14ac:dyDescent="0.3">
      <c r="A536">
        <v>1535</v>
      </c>
      <c r="B536" t="s">
        <v>993</v>
      </c>
      <c r="C536" t="s">
        <v>20</v>
      </c>
      <c r="D536" t="s">
        <v>24</v>
      </c>
      <c r="E536">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2321</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9 days</v>
      </c>
    </row>
    <row r="537" spans="1:17" x14ac:dyDescent="0.3">
      <c r="A537">
        <v>1536</v>
      </c>
      <c r="B537" t="s">
        <v>1042</v>
      </c>
      <c r="C537" t="s">
        <v>10</v>
      </c>
      <c r="D537" t="s">
        <v>24</v>
      </c>
      <c r="E537">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2704</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27 days</v>
      </c>
    </row>
    <row r="538" spans="1:17" x14ac:dyDescent="0.3">
      <c r="A538">
        <v>1537</v>
      </c>
      <c r="B538" t="s">
        <v>537</v>
      </c>
      <c r="C538" t="s">
        <v>15</v>
      </c>
      <c r="D538" t="s">
        <v>11</v>
      </c>
      <c r="E538">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2660</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539" spans="1:17" x14ac:dyDescent="0.3">
      <c r="A539">
        <v>1538</v>
      </c>
      <c r="B539" t="s">
        <v>1022</v>
      </c>
      <c r="C539" t="s">
        <v>20</v>
      </c>
      <c r="D539" t="s">
        <v>24</v>
      </c>
      <c r="E539">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1181</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24 days</v>
      </c>
    </row>
    <row r="541" spans="1:17" x14ac:dyDescent="0.3">
      <c r="A541">
        <v>1540</v>
      </c>
      <c r="B541" t="s">
        <v>32</v>
      </c>
      <c r="C541" t="s">
        <v>33</v>
      </c>
      <c r="D541" t="s">
        <v>11</v>
      </c>
      <c r="E541">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921</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8 days</v>
      </c>
    </row>
    <row r="543" spans="1:17" x14ac:dyDescent="0.3">
      <c r="A543">
        <v>1542</v>
      </c>
      <c r="B543" t="s">
        <v>125</v>
      </c>
      <c r="C543" t="s">
        <v>23</v>
      </c>
      <c r="D543" t="s">
        <v>11</v>
      </c>
      <c r="E543">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812</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21 days</v>
      </c>
    </row>
    <row r="544" spans="1:17" x14ac:dyDescent="0.3">
      <c r="A544">
        <v>1543</v>
      </c>
      <c r="B544" t="s">
        <v>121</v>
      </c>
      <c r="C544" t="s">
        <v>20</v>
      </c>
      <c r="D544" t="s">
        <v>24</v>
      </c>
      <c r="E544">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2415</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11 days</v>
      </c>
    </row>
    <row r="545" spans="1:17" x14ac:dyDescent="0.3">
      <c r="A545">
        <v>1544</v>
      </c>
      <c r="B545" t="s">
        <v>144</v>
      </c>
      <c r="C545" t="s">
        <v>23</v>
      </c>
      <c r="D545" t="s">
        <v>24</v>
      </c>
      <c r="E54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1808</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12 days</v>
      </c>
    </row>
    <row r="546" spans="1:17" x14ac:dyDescent="0.3">
      <c r="A546">
        <v>1545</v>
      </c>
      <c r="B546" t="s">
        <v>427</v>
      </c>
      <c r="C546" t="s">
        <v>33</v>
      </c>
      <c r="D546" t="s">
        <v>24</v>
      </c>
      <c r="E546">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792</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 days</v>
      </c>
    </row>
    <row r="547" spans="1:17" x14ac:dyDescent="0.3">
      <c r="A547">
        <v>1546</v>
      </c>
      <c r="B547" t="s">
        <v>932</v>
      </c>
      <c r="C547" t="s">
        <v>10</v>
      </c>
      <c r="D547" t="s">
        <v>11</v>
      </c>
      <c r="E547">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2390</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16 days</v>
      </c>
    </row>
    <row r="551" spans="1:17" x14ac:dyDescent="0.3">
      <c r="A551">
        <v>1550</v>
      </c>
      <c r="B551" t="s">
        <v>581</v>
      </c>
      <c r="C551" t="s">
        <v>15</v>
      </c>
      <c r="D551" t="s">
        <v>11</v>
      </c>
      <c r="E551">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2777</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8 days</v>
      </c>
    </row>
    <row r="552" spans="1:17" x14ac:dyDescent="0.3">
      <c r="A552">
        <v>1551</v>
      </c>
      <c r="B552" t="s">
        <v>905</v>
      </c>
      <c r="C552" t="s">
        <v>10</v>
      </c>
      <c r="D552" t="s">
        <v>11</v>
      </c>
      <c r="E552">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2170</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9 days</v>
      </c>
    </row>
    <row r="553" spans="1:17" x14ac:dyDescent="0.3">
      <c r="A553">
        <v>1552</v>
      </c>
      <c r="B553" t="s">
        <v>714</v>
      </c>
      <c r="C553" t="s">
        <v>23</v>
      </c>
      <c r="D553" t="s">
        <v>16</v>
      </c>
      <c r="E553">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800</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557" spans="1:17" x14ac:dyDescent="0.3">
      <c r="A557">
        <v>1556</v>
      </c>
      <c r="B557" t="s">
        <v>103</v>
      </c>
      <c r="C557" t="s">
        <v>20</v>
      </c>
      <c r="D557" t="s">
        <v>24</v>
      </c>
      <c r="E557">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574</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28 days</v>
      </c>
    </row>
    <row r="559" spans="1:17" x14ac:dyDescent="0.3">
      <c r="A559">
        <v>1558</v>
      </c>
      <c r="B559" t="s">
        <v>784</v>
      </c>
      <c r="C559" t="s">
        <v>46</v>
      </c>
      <c r="D559" t="s">
        <v>16</v>
      </c>
      <c r="E559">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2460</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25 days</v>
      </c>
    </row>
    <row r="560" spans="1:17" x14ac:dyDescent="0.3">
      <c r="A560">
        <v>1559</v>
      </c>
      <c r="B560" t="s">
        <v>74</v>
      </c>
      <c r="C560" t="s">
        <v>10</v>
      </c>
      <c r="D560" t="s">
        <v>24</v>
      </c>
      <c r="E560">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860</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9 days</v>
      </c>
    </row>
    <row r="562" spans="1:17" x14ac:dyDescent="0.3">
      <c r="A562">
        <v>1561</v>
      </c>
      <c r="B562" t="s">
        <v>95</v>
      </c>
      <c r="C562" t="s">
        <v>20</v>
      </c>
      <c r="D562" t="s">
        <v>24</v>
      </c>
      <c r="E562">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711</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563" spans="1:17" x14ac:dyDescent="0.3">
      <c r="A563">
        <v>1562</v>
      </c>
      <c r="B563" t="s">
        <v>60</v>
      </c>
      <c r="C563" t="s">
        <v>10</v>
      </c>
      <c r="D563" t="s">
        <v>11</v>
      </c>
      <c r="E563">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2881</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20 days</v>
      </c>
    </row>
    <row r="564" spans="1:17" x14ac:dyDescent="0.3">
      <c r="A564">
        <v>1563</v>
      </c>
      <c r="B564" t="s">
        <v>25</v>
      </c>
      <c r="C564" t="s">
        <v>20</v>
      </c>
      <c r="D564" t="s">
        <v>11</v>
      </c>
      <c r="E564">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1259</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12 days</v>
      </c>
    </row>
    <row r="570" spans="1:17" x14ac:dyDescent="0.3">
      <c r="A570">
        <v>1569</v>
      </c>
      <c r="B570" t="s">
        <v>742</v>
      </c>
      <c r="C570" t="s">
        <v>33</v>
      </c>
      <c r="D570" t="s">
        <v>16</v>
      </c>
      <c r="E570">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2545</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18 days</v>
      </c>
    </row>
    <row r="571" spans="1:17" x14ac:dyDescent="0.3">
      <c r="A571">
        <v>1570</v>
      </c>
      <c r="B571" t="s">
        <v>181</v>
      </c>
      <c r="C571" t="s">
        <v>46</v>
      </c>
      <c r="D571" t="s">
        <v>16</v>
      </c>
      <c r="E571">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915</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 days</v>
      </c>
    </row>
    <row r="572" spans="1:17" x14ac:dyDescent="0.3">
      <c r="A572">
        <v>1571</v>
      </c>
      <c r="B572" t="s">
        <v>70</v>
      </c>
      <c r="C572" t="s">
        <v>20</v>
      </c>
      <c r="D572" t="s">
        <v>11</v>
      </c>
      <c r="E572">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618</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10 days</v>
      </c>
    </row>
    <row r="574" spans="1:17" x14ac:dyDescent="0.3">
      <c r="A574">
        <v>1573</v>
      </c>
      <c r="B574" t="s">
        <v>146</v>
      </c>
      <c r="C574" t="s">
        <v>10</v>
      </c>
      <c r="D574" t="s">
        <v>11</v>
      </c>
      <c r="E574">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2549</v>
      </c>
      <c r="L574" cm="1">
        <f t="array" aca="1" ref="L574" ca="1">_xlfn.IFS(EmployeeData[[#This Row],[Status]]="Exited",DATEDIF(EmployeeData[[#This Row],[Join Date]], EmployeeData[[#This Row],[Exit Date]], "Y"),EmployeeData[[#This Row],[Status]]="Active",DATEDIF(EmployeeData[[#This Row],[Join Date]], TODAY(), "Y"))</f>
        <v>6</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575" spans="1:17" x14ac:dyDescent="0.3">
      <c r="A575">
        <v>1574</v>
      </c>
      <c r="B575" t="s">
        <v>761</v>
      </c>
      <c r="C575" t="s">
        <v>10</v>
      </c>
      <c r="D575" t="s">
        <v>11</v>
      </c>
      <c r="E5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608</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578" spans="1:17" x14ac:dyDescent="0.3">
      <c r="A578">
        <v>1577</v>
      </c>
      <c r="B578" t="s">
        <v>381</v>
      </c>
      <c r="C578" t="s">
        <v>23</v>
      </c>
      <c r="D578" t="s">
        <v>24</v>
      </c>
      <c r="E578">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2092</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23 days</v>
      </c>
    </row>
    <row r="579" spans="1:17" x14ac:dyDescent="0.3">
      <c r="A579">
        <v>1578</v>
      </c>
      <c r="B579" t="s">
        <v>954</v>
      </c>
      <c r="C579" t="s">
        <v>23</v>
      </c>
      <c r="D579" t="s">
        <v>24</v>
      </c>
      <c r="E579">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2516</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20 days</v>
      </c>
    </row>
    <row r="581" spans="1:17" x14ac:dyDescent="0.3">
      <c r="A581">
        <v>1580</v>
      </c>
      <c r="B581" t="s">
        <v>983</v>
      </c>
      <c r="C581" t="s">
        <v>15</v>
      </c>
      <c r="D581" t="s">
        <v>11</v>
      </c>
      <c r="E581">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2544</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17 days</v>
      </c>
    </row>
    <row r="582" spans="1:17" x14ac:dyDescent="0.3">
      <c r="A582">
        <v>1581</v>
      </c>
      <c r="B582" t="s">
        <v>386</v>
      </c>
      <c r="C582" t="s">
        <v>23</v>
      </c>
      <c r="D582" t="s">
        <v>11</v>
      </c>
      <c r="E582">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2749</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10 days</v>
      </c>
    </row>
    <row r="584" spans="1:17" x14ac:dyDescent="0.3">
      <c r="A584">
        <v>1583</v>
      </c>
      <c r="B584" t="s">
        <v>463</v>
      </c>
      <c r="C584" t="s">
        <v>23</v>
      </c>
      <c r="D584" t="s">
        <v>11</v>
      </c>
      <c r="E584">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844</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22 days</v>
      </c>
    </row>
    <row r="585" spans="1:17" x14ac:dyDescent="0.3">
      <c r="A585">
        <v>1584</v>
      </c>
      <c r="B585" t="s">
        <v>71</v>
      </c>
      <c r="C585" t="s">
        <v>15</v>
      </c>
      <c r="D585" t="s">
        <v>16</v>
      </c>
      <c r="E58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1220</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4 days</v>
      </c>
    </row>
    <row r="587" spans="1:17" x14ac:dyDescent="0.3">
      <c r="A587">
        <v>1586</v>
      </c>
      <c r="B587" t="s">
        <v>705</v>
      </c>
      <c r="C587" t="s">
        <v>23</v>
      </c>
      <c r="D587" t="s">
        <v>24</v>
      </c>
      <c r="E587">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687</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18 days</v>
      </c>
    </row>
    <row r="588" spans="1:17" x14ac:dyDescent="0.3">
      <c r="A588">
        <v>1587</v>
      </c>
      <c r="B588" t="s">
        <v>257</v>
      </c>
      <c r="C588" t="s">
        <v>10</v>
      </c>
      <c r="D588" t="s">
        <v>24</v>
      </c>
      <c r="E588">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1742</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8 days</v>
      </c>
    </row>
    <row r="590" spans="1:17" x14ac:dyDescent="0.3">
      <c r="A590">
        <v>1589</v>
      </c>
      <c r="B590" t="s">
        <v>195</v>
      </c>
      <c r="C590" t="s">
        <v>15</v>
      </c>
      <c r="D590" t="s">
        <v>16</v>
      </c>
      <c r="E590">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1348</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9 days</v>
      </c>
    </row>
    <row r="592" spans="1:17" x14ac:dyDescent="0.3">
      <c r="A592">
        <v>1591</v>
      </c>
      <c r="B592" t="s">
        <v>256</v>
      </c>
      <c r="C592" t="s">
        <v>20</v>
      </c>
      <c r="D592" t="s">
        <v>16</v>
      </c>
      <c r="E592">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1404</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4 days</v>
      </c>
    </row>
    <row r="593" spans="1:17" x14ac:dyDescent="0.3">
      <c r="A593">
        <v>1592</v>
      </c>
      <c r="B593" t="s">
        <v>1085</v>
      </c>
      <c r="C593" t="s">
        <v>23</v>
      </c>
      <c r="D593" t="s">
        <v>11</v>
      </c>
      <c r="E593">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1349</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594" spans="1:17" x14ac:dyDescent="0.3">
      <c r="A594">
        <v>1593</v>
      </c>
      <c r="B594" t="s">
        <v>755</v>
      </c>
      <c r="C594" t="s">
        <v>46</v>
      </c>
      <c r="D594" t="s">
        <v>24</v>
      </c>
      <c r="E594">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970</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27 days</v>
      </c>
    </row>
    <row r="595" spans="1:17" x14ac:dyDescent="0.3">
      <c r="A595">
        <v>1594</v>
      </c>
      <c r="B595" t="s">
        <v>573</v>
      </c>
      <c r="C595" t="s">
        <v>33</v>
      </c>
      <c r="D595" t="s">
        <v>16</v>
      </c>
      <c r="E59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344</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9 days</v>
      </c>
    </row>
    <row r="599" spans="1:17" x14ac:dyDescent="0.3">
      <c r="A599">
        <v>1598</v>
      </c>
      <c r="B599" t="s">
        <v>160</v>
      </c>
      <c r="C599" t="s">
        <v>23</v>
      </c>
      <c r="D599" t="s">
        <v>24</v>
      </c>
      <c r="E599">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1726</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22 days</v>
      </c>
    </row>
    <row r="600" spans="1:17" x14ac:dyDescent="0.3">
      <c r="A600">
        <v>1599</v>
      </c>
      <c r="B600" t="s">
        <v>277</v>
      </c>
      <c r="C600" t="s">
        <v>23</v>
      </c>
      <c r="D600" t="s">
        <v>24</v>
      </c>
      <c r="E600">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532</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16 days</v>
      </c>
    </row>
    <row r="602" spans="1:17" x14ac:dyDescent="0.3">
      <c r="A602">
        <v>1601</v>
      </c>
      <c r="B602" t="s">
        <v>279</v>
      </c>
      <c r="C602" t="s">
        <v>15</v>
      </c>
      <c r="D602" t="s">
        <v>16</v>
      </c>
      <c r="E602">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210</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29 days</v>
      </c>
    </row>
    <row r="603" spans="1:17" x14ac:dyDescent="0.3">
      <c r="A603">
        <v>1602</v>
      </c>
      <c r="B603" t="s">
        <v>914</v>
      </c>
      <c r="C603" t="s">
        <v>33</v>
      </c>
      <c r="D603" t="s">
        <v>24</v>
      </c>
      <c r="E603">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2213</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22 days</v>
      </c>
    </row>
    <row r="604" spans="1:17" x14ac:dyDescent="0.3">
      <c r="A604">
        <v>1603</v>
      </c>
      <c r="B604" t="s">
        <v>62</v>
      </c>
      <c r="C604" t="s">
        <v>20</v>
      </c>
      <c r="D604" t="s">
        <v>11</v>
      </c>
      <c r="E604">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2512</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16 days</v>
      </c>
    </row>
    <row r="606" spans="1:17" x14ac:dyDescent="0.3">
      <c r="A606">
        <v>1605</v>
      </c>
      <c r="B606" t="s">
        <v>810</v>
      </c>
      <c r="C606" t="s">
        <v>15</v>
      </c>
      <c r="D606" t="s">
        <v>11</v>
      </c>
      <c r="E606">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1511</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19 days</v>
      </c>
    </row>
    <row r="607" spans="1:17" x14ac:dyDescent="0.3">
      <c r="A607">
        <v>1606</v>
      </c>
      <c r="B607" t="s">
        <v>49</v>
      </c>
      <c r="C607" t="s">
        <v>20</v>
      </c>
      <c r="D607" t="s">
        <v>24</v>
      </c>
      <c r="E607">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1733</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30 days</v>
      </c>
    </row>
    <row r="608" spans="1:17" x14ac:dyDescent="0.3">
      <c r="A608">
        <v>1607</v>
      </c>
      <c r="B608" t="s">
        <v>320</v>
      </c>
      <c r="C608" t="s">
        <v>15</v>
      </c>
      <c r="D608" t="s">
        <v>11</v>
      </c>
      <c r="E608">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587</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10 days</v>
      </c>
    </row>
    <row r="611" spans="1:17" x14ac:dyDescent="0.3">
      <c r="A611">
        <v>1610</v>
      </c>
      <c r="B611" t="s">
        <v>737</v>
      </c>
      <c r="C611" t="s">
        <v>23</v>
      </c>
      <c r="D611" t="s">
        <v>24</v>
      </c>
      <c r="E611">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2718</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10 days</v>
      </c>
    </row>
    <row r="614" spans="1:17" x14ac:dyDescent="0.3">
      <c r="A614">
        <v>1613</v>
      </c>
      <c r="B614" t="s">
        <v>392</v>
      </c>
      <c r="C614" t="s">
        <v>23</v>
      </c>
      <c r="D614" t="s">
        <v>11</v>
      </c>
      <c r="E614">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1209</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21 days</v>
      </c>
    </row>
    <row r="616" spans="1:17" x14ac:dyDescent="0.3">
      <c r="A616">
        <v>1615</v>
      </c>
      <c r="B616" t="s">
        <v>669</v>
      </c>
      <c r="C616" t="s">
        <v>15</v>
      </c>
      <c r="D616" t="s">
        <v>16</v>
      </c>
      <c r="E616">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1764</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30 days</v>
      </c>
    </row>
    <row r="617" spans="1:17" x14ac:dyDescent="0.3">
      <c r="A617">
        <v>1616</v>
      </c>
      <c r="B617" t="s">
        <v>315</v>
      </c>
      <c r="C617" t="s">
        <v>23</v>
      </c>
      <c r="D617" t="s">
        <v>16</v>
      </c>
      <c r="E617">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775</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19" spans="1:17" x14ac:dyDescent="0.3">
      <c r="A619">
        <v>1618</v>
      </c>
      <c r="B619" t="s">
        <v>450</v>
      </c>
      <c r="C619" t="s">
        <v>20</v>
      </c>
      <c r="D619" t="s">
        <v>11</v>
      </c>
      <c r="E619">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2630</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12 days</v>
      </c>
    </row>
    <row r="620" spans="1:17" x14ac:dyDescent="0.3">
      <c r="A620">
        <v>1619</v>
      </c>
      <c r="B620" t="s">
        <v>72</v>
      </c>
      <c r="C620" t="s">
        <v>15</v>
      </c>
      <c r="D620" t="s">
        <v>11</v>
      </c>
      <c r="E620">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2498</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622" spans="1:17" x14ac:dyDescent="0.3">
      <c r="A622">
        <v>1621</v>
      </c>
      <c r="B622" t="s">
        <v>1016</v>
      </c>
      <c r="C622" t="s">
        <v>15</v>
      </c>
      <c r="D622" t="s">
        <v>11</v>
      </c>
      <c r="E622">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1871</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623" spans="1:17" x14ac:dyDescent="0.3">
      <c r="A623">
        <v>1622</v>
      </c>
      <c r="B623" t="s">
        <v>1052</v>
      </c>
      <c r="C623" t="s">
        <v>46</v>
      </c>
      <c r="D623" t="s">
        <v>11</v>
      </c>
      <c r="E623">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3065</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23 days</v>
      </c>
    </row>
    <row r="624" spans="1:17" x14ac:dyDescent="0.3">
      <c r="A624">
        <v>1623</v>
      </c>
      <c r="B624" t="s">
        <v>877</v>
      </c>
      <c r="C624" t="s">
        <v>33</v>
      </c>
      <c r="D624" t="s">
        <v>16</v>
      </c>
      <c r="E624">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1536</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626" spans="1:17" x14ac:dyDescent="0.3">
      <c r="A626">
        <v>1625</v>
      </c>
      <c r="B626" t="s">
        <v>869</v>
      </c>
      <c r="C626" t="s">
        <v>15</v>
      </c>
      <c r="D626" t="s">
        <v>24</v>
      </c>
      <c r="E626">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1194</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631" spans="1:17" x14ac:dyDescent="0.3">
      <c r="A631">
        <v>1630</v>
      </c>
      <c r="B631" t="s">
        <v>990</v>
      </c>
      <c r="C631" t="s">
        <v>23</v>
      </c>
      <c r="D631" t="s">
        <v>24</v>
      </c>
      <c r="E631">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297</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24 days</v>
      </c>
    </row>
    <row r="632" spans="1:17" x14ac:dyDescent="0.3">
      <c r="A632">
        <v>1631</v>
      </c>
      <c r="B632" t="s">
        <v>82</v>
      </c>
      <c r="C632" t="s">
        <v>46</v>
      </c>
      <c r="D632" t="s">
        <v>24</v>
      </c>
      <c r="E632">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1178</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21 days</v>
      </c>
    </row>
    <row r="633" spans="1:17" x14ac:dyDescent="0.3">
      <c r="A633">
        <v>1632</v>
      </c>
      <c r="B633" t="s">
        <v>951</v>
      </c>
      <c r="C633" t="s">
        <v>10</v>
      </c>
      <c r="D633" t="s">
        <v>11</v>
      </c>
      <c r="E633">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2406</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 days</v>
      </c>
    </row>
    <row r="635" spans="1:17" x14ac:dyDescent="0.3">
      <c r="A635">
        <v>1634</v>
      </c>
      <c r="B635" t="s">
        <v>782</v>
      </c>
      <c r="C635" t="s">
        <v>10</v>
      </c>
      <c r="D635" t="s">
        <v>16</v>
      </c>
      <c r="E63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2784</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636" spans="1:17" x14ac:dyDescent="0.3">
      <c r="A636">
        <v>1635</v>
      </c>
      <c r="B636" t="s">
        <v>1053</v>
      </c>
      <c r="C636" t="s">
        <v>10</v>
      </c>
      <c r="D636" t="s">
        <v>16</v>
      </c>
      <c r="E636">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1694</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21 days</v>
      </c>
    </row>
    <row r="638" spans="1:17" x14ac:dyDescent="0.3">
      <c r="A638">
        <v>1637</v>
      </c>
      <c r="B638" t="s">
        <v>183</v>
      </c>
      <c r="C638" t="s">
        <v>15</v>
      </c>
      <c r="D638" t="s">
        <v>24</v>
      </c>
      <c r="E638">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2700</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23 days</v>
      </c>
    </row>
    <row r="642" spans="1:17" x14ac:dyDescent="0.3">
      <c r="A642">
        <v>1641</v>
      </c>
      <c r="B642" t="s">
        <v>997</v>
      </c>
      <c r="C642" t="s">
        <v>20</v>
      </c>
      <c r="D642" t="s">
        <v>16</v>
      </c>
      <c r="E642">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2005</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28 days</v>
      </c>
    </row>
    <row r="643" spans="1:17" x14ac:dyDescent="0.3">
      <c r="A643">
        <v>1642</v>
      </c>
      <c r="B643" t="s">
        <v>1098</v>
      </c>
      <c r="C643" t="s">
        <v>20</v>
      </c>
      <c r="D643" t="s">
        <v>11</v>
      </c>
      <c r="E643">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2300</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17 days</v>
      </c>
    </row>
    <row r="644" spans="1:17" x14ac:dyDescent="0.3">
      <c r="A644">
        <v>1643</v>
      </c>
      <c r="B644" t="s">
        <v>747</v>
      </c>
      <c r="C644" t="s">
        <v>33</v>
      </c>
      <c r="D644" t="s">
        <v>16</v>
      </c>
      <c r="E644">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643</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5 days</v>
      </c>
    </row>
    <row r="646" spans="1:17" x14ac:dyDescent="0.3">
      <c r="A646">
        <v>1645</v>
      </c>
      <c r="B646" t="s">
        <v>467</v>
      </c>
      <c r="C646" t="s">
        <v>15</v>
      </c>
      <c r="D646" t="s">
        <v>24</v>
      </c>
      <c r="E646">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2342</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30 days</v>
      </c>
    </row>
    <row r="647" spans="1:17" x14ac:dyDescent="0.3">
      <c r="A647">
        <v>1646</v>
      </c>
      <c r="B647" t="s">
        <v>935</v>
      </c>
      <c r="C647" t="s">
        <v>23</v>
      </c>
      <c r="D647" t="s">
        <v>11</v>
      </c>
      <c r="E647">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1350</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11 days</v>
      </c>
    </row>
    <row r="648" spans="1:17" x14ac:dyDescent="0.3">
      <c r="A648">
        <v>1647</v>
      </c>
      <c r="B648" t="s">
        <v>172</v>
      </c>
      <c r="C648" t="s">
        <v>10</v>
      </c>
      <c r="D648" t="s">
        <v>16</v>
      </c>
      <c r="E648">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1736</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 days</v>
      </c>
    </row>
    <row r="649" spans="1:17" x14ac:dyDescent="0.3">
      <c r="A649">
        <v>1648</v>
      </c>
      <c r="B649" t="s">
        <v>269</v>
      </c>
      <c r="C649" t="s">
        <v>23</v>
      </c>
      <c r="D649" t="s">
        <v>11</v>
      </c>
      <c r="E649">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2368</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25 days</v>
      </c>
    </row>
    <row r="650" spans="1:17" x14ac:dyDescent="0.3">
      <c r="A650">
        <v>1649</v>
      </c>
      <c r="B650" t="s">
        <v>55</v>
      </c>
      <c r="C650" t="s">
        <v>15</v>
      </c>
      <c r="D650" t="s">
        <v>24</v>
      </c>
      <c r="E650">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376</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652" spans="1:17" x14ac:dyDescent="0.3">
      <c r="A652">
        <v>1651</v>
      </c>
      <c r="B652" t="s">
        <v>1017</v>
      </c>
      <c r="C652" t="s">
        <v>23</v>
      </c>
      <c r="D652" t="s">
        <v>24</v>
      </c>
      <c r="E652">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1140</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13 days</v>
      </c>
    </row>
    <row r="653" spans="1:17" x14ac:dyDescent="0.3">
      <c r="A653">
        <v>1652</v>
      </c>
      <c r="B653" t="s">
        <v>723</v>
      </c>
      <c r="C653" t="s">
        <v>46</v>
      </c>
      <c r="D653" t="s">
        <v>11</v>
      </c>
      <c r="E653">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2602</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14 days</v>
      </c>
    </row>
    <row r="654" spans="1:17" x14ac:dyDescent="0.3">
      <c r="A654">
        <v>1653</v>
      </c>
      <c r="B654" t="s">
        <v>1089</v>
      </c>
      <c r="C654" t="s">
        <v>10</v>
      </c>
      <c r="D654" t="s">
        <v>24</v>
      </c>
      <c r="E654">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1602</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21 days</v>
      </c>
    </row>
    <row r="655" spans="1:17" x14ac:dyDescent="0.3">
      <c r="A655">
        <v>1654</v>
      </c>
      <c r="B655" t="s">
        <v>296</v>
      </c>
      <c r="C655" t="s">
        <v>20</v>
      </c>
      <c r="D655" t="s">
        <v>16</v>
      </c>
      <c r="E65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2375</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 days</v>
      </c>
    </row>
    <row r="656" spans="1:17" x14ac:dyDescent="0.3">
      <c r="A656">
        <v>1655</v>
      </c>
      <c r="B656" t="s">
        <v>568</v>
      </c>
      <c r="C656" t="s">
        <v>33</v>
      </c>
      <c r="D656" t="s">
        <v>24</v>
      </c>
      <c r="E656">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2488</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23 days</v>
      </c>
    </row>
    <row r="660" spans="1:17" x14ac:dyDescent="0.3">
      <c r="A660">
        <v>1659</v>
      </c>
      <c r="B660" t="s">
        <v>1056</v>
      </c>
      <c r="C660" t="s">
        <v>23</v>
      </c>
      <c r="D660" t="s">
        <v>16</v>
      </c>
      <c r="E660">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2104</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5 days</v>
      </c>
    </row>
    <row r="661" spans="1:17" x14ac:dyDescent="0.3">
      <c r="A661">
        <v>1660</v>
      </c>
      <c r="B661" t="s">
        <v>45</v>
      </c>
      <c r="C661" t="s">
        <v>46</v>
      </c>
      <c r="D661" t="s">
        <v>11</v>
      </c>
      <c r="E661">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1230</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14 days</v>
      </c>
    </row>
    <row r="662" spans="1:17" x14ac:dyDescent="0.3">
      <c r="A662">
        <v>1661</v>
      </c>
      <c r="B662" t="s">
        <v>167</v>
      </c>
      <c r="C662" t="s">
        <v>15</v>
      </c>
      <c r="D662" t="s">
        <v>24</v>
      </c>
      <c r="E662">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2840</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10 days</v>
      </c>
    </row>
    <row r="663" spans="1:17" x14ac:dyDescent="0.3">
      <c r="A663">
        <v>1662</v>
      </c>
      <c r="B663" t="s">
        <v>856</v>
      </c>
      <c r="C663" t="s">
        <v>46</v>
      </c>
      <c r="D663" t="s">
        <v>24</v>
      </c>
      <c r="E663">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2604</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16 days</v>
      </c>
    </row>
    <row r="664" spans="1:17" x14ac:dyDescent="0.3">
      <c r="A664">
        <v>1663</v>
      </c>
      <c r="B664" t="s">
        <v>398</v>
      </c>
      <c r="C664" t="s">
        <v>20</v>
      </c>
      <c r="D664" t="s">
        <v>24</v>
      </c>
      <c r="E664">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1936</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18 days</v>
      </c>
    </row>
    <row r="667" spans="1:17" x14ac:dyDescent="0.3">
      <c r="A667">
        <v>1666</v>
      </c>
      <c r="B667" t="s">
        <v>960</v>
      </c>
      <c r="C667" t="s">
        <v>23</v>
      </c>
      <c r="D667" t="s">
        <v>24</v>
      </c>
      <c r="E667">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2119</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20 days</v>
      </c>
    </row>
    <row r="668" spans="1:17" x14ac:dyDescent="0.3">
      <c r="A668">
        <v>1667</v>
      </c>
      <c r="B668" t="s">
        <v>484</v>
      </c>
      <c r="C668" t="s">
        <v>23</v>
      </c>
      <c r="D668" t="s">
        <v>16</v>
      </c>
      <c r="E668">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1674</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 days</v>
      </c>
    </row>
    <row r="669" spans="1:17" x14ac:dyDescent="0.3">
      <c r="A669">
        <v>1668</v>
      </c>
      <c r="B669" t="s">
        <v>363</v>
      </c>
      <c r="C669" t="s">
        <v>23</v>
      </c>
      <c r="D669" t="s">
        <v>11</v>
      </c>
      <c r="E669">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1277</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30 days</v>
      </c>
    </row>
    <row r="673" spans="1:17" x14ac:dyDescent="0.3">
      <c r="A673">
        <v>1672</v>
      </c>
      <c r="B673" t="s">
        <v>370</v>
      </c>
      <c r="C673" t="s">
        <v>15</v>
      </c>
      <c r="D673" t="s">
        <v>16</v>
      </c>
      <c r="E673">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602</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25 days</v>
      </c>
    </row>
    <row r="675" spans="1:17" x14ac:dyDescent="0.3">
      <c r="A675">
        <v>1674</v>
      </c>
      <c r="B675" t="s">
        <v>314</v>
      </c>
      <c r="C675" t="s">
        <v>23</v>
      </c>
      <c r="D675" t="s">
        <v>11</v>
      </c>
      <c r="E6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2198</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7 days</v>
      </c>
    </row>
    <row r="677" spans="1:17" x14ac:dyDescent="0.3">
      <c r="A677">
        <v>1676</v>
      </c>
      <c r="B677" t="s">
        <v>295</v>
      </c>
      <c r="C677" t="s">
        <v>46</v>
      </c>
      <c r="D677" t="s">
        <v>24</v>
      </c>
      <c r="E677">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2961</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8 days</v>
      </c>
    </row>
    <row r="680" spans="1:17" x14ac:dyDescent="0.3">
      <c r="A680">
        <v>1679</v>
      </c>
      <c r="B680" t="s">
        <v>565</v>
      </c>
      <c r="C680" t="s">
        <v>20</v>
      </c>
      <c r="D680" t="s">
        <v>16</v>
      </c>
      <c r="E680">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1133</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6 days</v>
      </c>
    </row>
    <row r="682" spans="1:17" x14ac:dyDescent="0.3">
      <c r="A682">
        <v>1681</v>
      </c>
      <c r="B682" t="s">
        <v>259</v>
      </c>
      <c r="C682" t="s">
        <v>46</v>
      </c>
      <c r="D682" t="s">
        <v>24</v>
      </c>
      <c r="E682">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218</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683" spans="1:17" x14ac:dyDescent="0.3">
      <c r="A683">
        <v>1682</v>
      </c>
      <c r="B683" t="s">
        <v>378</v>
      </c>
      <c r="C683" t="s">
        <v>33</v>
      </c>
      <c r="D683" t="s">
        <v>16</v>
      </c>
      <c r="E683">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2874</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13 days</v>
      </c>
    </row>
    <row r="685" spans="1:17" x14ac:dyDescent="0.3">
      <c r="A685">
        <v>1684</v>
      </c>
      <c r="B685" t="s">
        <v>351</v>
      </c>
      <c r="C685" t="s">
        <v>23</v>
      </c>
      <c r="D685" t="s">
        <v>16</v>
      </c>
      <c r="E68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2381</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7 days</v>
      </c>
    </row>
    <row r="686" spans="1:17" x14ac:dyDescent="0.3">
      <c r="A686">
        <v>1685</v>
      </c>
      <c r="B686" t="s">
        <v>504</v>
      </c>
      <c r="C686" t="s">
        <v>15</v>
      </c>
      <c r="D686" t="s">
        <v>11</v>
      </c>
      <c r="E686">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312</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688" spans="1:17" x14ac:dyDescent="0.3">
      <c r="A688">
        <v>1687</v>
      </c>
      <c r="B688" t="s">
        <v>143</v>
      </c>
      <c r="C688" t="s">
        <v>23</v>
      </c>
      <c r="D688" t="s">
        <v>24</v>
      </c>
      <c r="E688">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1173</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689" spans="1:17" x14ac:dyDescent="0.3">
      <c r="A689">
        <v>1688</v>
      </c>
      <c r="B689" t="s">
        <v>745</v>
      </c>
      <c r="C689" t="s">
        <v>33</v>
      </c>
      <c r="D689" t="s">
        <v>11</v>
      </c>
      <c r="E689">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2327</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15 days</v>
      </c>
    </row>
    <row r="690" spans="1:17" x14ac:dyDescent="0.3">
      <c r="A690">
        <v>1689</v>
      </c>
      <c r="B690" t="s">
        <v>1031</v>
      </c>
      <c r="C690" t="s">
        <v>10</v>
      </c>
      <c r="D690" t="s">
        <v>11</v>
      </c>
      <c r="E690">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2558</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 days</v>
      </c>
    </row>
    <row r="692" spans="1:17" x14ac:dyDescent="0.3">
      <c r="A692">
        <v>1691</v>
      </c>
      <c r="B692" t="s">
        <v>1073</v>
      </c>
      <c r="C692" t="s">
        <v>15</v>
      </c>
      <c r="D692" t="s">
        <v>16</v>
      </c>
      <c r="E692">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2147</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17 days</v>
      </c>
    </row>
    <row r="693" spans="1:17" x14ac:dyDescent="0.3">
      <c r="A693">
        <v>1692</v>
      </c>
      <c r="B693" t="s">
        <v>734</v>
      </c>
      <c r="C693" t="s">
        <v>20</v>
      </c>
      <c r="D693" t="s">
        <v>11</v>
      </c>
      <c r="E693">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668</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30 days</v>
      </c>
    </row>
    <row r="694" spans="1:17" x14ac:dyDescent="0.3">
      <c r="A694">
        <v>1693</v>
      </c>
      <c r="B694" t="s">
        <v>107</v>
      </c>
      <c r="C694" t="s">
        <v>23</v>
      </c>
      <c r="D694" t="s">
        <v>11</v>
      </c>
      <c r="E694">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2395</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695" spans="1:17" x14ac:dyDescent="0.3">
      <c r="A695">
        <v>1694</v>
      </c>
      <c r="B695" t="s">
        <v>558</v>
      </c>
      <c r="C695" t="s">
        <v>20</v>
      </c>
      <c r="D695" t="s">
        <v>16</v>
      </c>
      <c r="E69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1934</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16 days</v>
      </c>
    </row>
    <row r="696" spans="1:17" x14ac:dyDescent="0.3">
      <c r="A696">
        <v>1695</v>
      </c>
      <c r="B696" t="s">
        <v>744</v>
      </c>
      <c r="C696" t="s">
        <v>20</v>
      </c>
      <c r="D696" t="s">
        <v>16</v>
      </c>
      <c r="E696">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198</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16 days</v>
      </c>
    </row>
    <row r="697" spans="1:17" x14ac:dyDescent="0.3">
      <c r="A697">
        <v>1696</v>
      </c>
      <c r="B697" t="s">
        <v>139</v>
      </c>
      <c r="C697" t="s">
        <v>46</v>
      </c>
      <c r="D697" t="s">
        <v>24</v>
      </c>
      <c r="E697">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1137</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10 days</v>
      </c>
    </row>
    <row r="701" spans="1:17" x14ac:dyDescent="0.3">
      <c r="A701">
        <v>1700</v>
      </c>
      <c r="B701" t="s">
        <v>528</v>
      </c>
      <c r="C701" t="s">
        <v>15</v>
      </c>
      <c r="D701" t="s">
        <v>24</v>
      </c>
      <c r="E701">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325</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703" spans="1:17" x14ac:dyDescent="0.3">
      <c r="A703">
        <v>1702</v>
      </c>
      <c r="B703" t="s">
        <v>235</v>
      </c>
      <c r="C703" t="s">
        <v>10</v>
      </c>
      <c r="D703" t="s">
        <v>24</v>
      </c>
      <c r="E703">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2590</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 days</v>
      </c>
    </row>
    <row r="709" spans="1:17" x14ac:dyDescent="0.3">
      <c r="A709">
        <v>1708</v>
      </c>
      <c r="B709" t="s">
        <v>532</v>
      </c>
      <c r="C709" t="s">
        <v>15</v>
      </c>
      <c r="D709" t="s">
        <v>11</v>
      </c>
      <c r="E709">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2825</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25 days</v>
      </c>
    </row>
    <row r="710" spans="1:17" x14ac:dyDescent="0.3">
      <c r="A710">
        <v>1709</v>
      </c>
      <c r="B710" t="s">
        <v>615</v>
      </c>
      <c r="C710" t="s">
        <v>33</v>
      </c>
      <c r="D710" t="s">
        <v>24</v>
      </c>
      <c r="E710">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255</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12 days</v>
      </c>
    </row>
    <row r="711" spans="1:17" x14ac:dyDescent="0.3">
      <c r="A711">
        <v>1710</v>
      </c>
      <c r="B711" t="s">
        <v>152</v>
      </c>
      <c r="C711" t="s">
        <v>15</v>
      </c>
      <c r="D711" t="s">
        <v>16</v>
      </c>
      <c r="E711">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1987</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10 days</v>
      </c>
    </row>
    <row r="714" spans="1:17" x14ac:dyDescent="0.3">
      <c r="A714">
        <v>1713</v>
      </c>
      <c r="B714" t="s">
        <v>696</v>
      </c>
      <c r="C714" t="s">
        <v>33</v>
      </c>
      <c r="D714" t="s">
        <v>16</v>
      </c>
      <c r="E714">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586</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9 days</v>
      </c>
    </row>
    <row r="716" spans="1:17" x14ac:dyDescent="0.3">
      <c r="A716">
        <v>1715</v>
      </c>
      <c r="B716" t="s">
        <v>459</v>
      </c>
      <c r="C716" t="s">
        <v>20</v>
      </c>
      <c r="D716" t="s">
        <v>11</v>
      </c>
      <c r="E716">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1212</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24 days</v>
      </c>
    </row>
    <row r="717" spans="1:17" x14ac:dyDescent="0.3">
      <c r="A717">
        <v>1716</v>
      </c>
      <c r="B717" t="s">
        <v>867</v>
      </c>
      <c r="C717" t="s">
        <v>23</v>
      </c>
      <c r="D717" t="s">
        <v>16</v>
      </c>
      <c r="E717">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2529</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 days</v>
      </c>
    </row>
    <row r="718" spans="1:17" x14ac:dyDescent="0.3">
      <c r="A718">
        <v>1717</v>
      </c>
      <c r="B718" t="s">
        <v>243</v>
      </c>
      <c r="C718" t="s">
        <v>15</v>
      </c>
      <c r="D718" t="s">
        <v>11</v>
      </c>
      <c r="E718">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2571</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14 days</v>
      </c>
    </row>
    <row r="719" spans="1:17" x14ac:dyDescent="0.3">
      <c r="A719">
        <v>1718</v>
      </c>
      <c r="B719" t="s">
        <v>699</v>
      </c>
      <c r="C719" t="s">
        <v>15</v>
      </c>
      <c r="D719" t="s">
        <v>11</v>
      </c>
      <c r="E719">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269</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720" spans="1:17" x14ac:dyDescent="0.3">
      <c r="A720">
        <v>1719</v>
      </c>
      <c r="B720" t="s">
        <v>513</v>
      </c>
      <c r="C720" t="s">
        <v>20</v>
      </c>
      <c r="D720" t="s">
        <v>16</v>
      </c>
      <c r="E720">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2964</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11 days</v>
      </c>
    </row>
    <row r="721" spans="1:17" x14ac:dyDescent="0.3">
      <c r="A721">
        <v>1720</v>
      </c>
      <c r="B721" t="s">
        <v>111</v>
      </c>
      <c r="C721" t="s">
        <v>46</v>
      </c>
      <c r="D721" t="s">
        <v>16</v>
      </c>
      <c r="E721">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2502</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723" spans="1:17" x14ac:dyDescent="0.3">
      <c r="A723">
        <v>1722</v>
      </c>
      <c r="B723" t="s">
        <v>88</v>
      </c>
      <c r="C723" t="s">
        <v>33</v>
      </c>
      <c r="D723" t="s">
        <v>11</v>
      </c>
      <c r="E723">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1030</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26 days</v>
      </c>
    </row>
    <row r="724" spans="1:17" x14ac:dyDescent="0.3">
      <c r="A724">
        <v>1723</v>
      </c>
      <c r="B724" t="s">
        <v>656</v>
      </c>
      <c r="C724" t="s">
        <v>23</v>
      </c>
      <c r="D724" t="s">
        <v>11</v>
      </c>
      <c r="E724">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2395</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725" spans="1:17" x14ac:dyDescent="0.3">
      <c r="A725">
        <v>1724</v>
      </c>
      <c r="B725" t="s">
        <v>785</v>
      </c>
      <c r="C725" t="s">
        <v>15</v>
      </c>
      <c r="D725" t="s">
        <v>16</v>
      </c>
      <c r="E72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200</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18 days</v>
      </c>
    </row>
    <row r="726" spans="1:17" x14ac:dyDescent="0.3">
      <c r="A726">
        <v>1725</v>
      </c>
      <c r="B726" t="s">
        <v>274</v>
      </c>
      <c r="C726" t="s">
        <v>15</v>
      </c>
      <c r="D726" t="s">
        <v>11</v>
      </c>
      <c r="E726">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816</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25 days</v>
      </c>
    </row>
    <row r="728" spans="1:17" x14ac:dyDescent="0.3">
      <c r="A728">
        <v>1727</v>
      </c>
      <c r="B728" t="s">
        <v>682</v>
      </c>
      <c r="C728" t="s">
        <v>10</v>
      </c>
      <c r="D728" t="s">
        <v>24</v>
      </c>
      <c r="E728">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284</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11 days</v>
      </c>
    </row>
    <row r="729" spans="1:17" x14ac:dyDescent="0.3">
      <c r="A729">
        <v>1728</v>
      </c>
      <c r="B729" t="s">
        <v>188</v>
      </c>
      <c r="C729" t="s">
        <v>46</v>
      </c>
      <c r="D729" t="s">
        <v>24</v>
      </c>
      <c r="E729">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1150</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730" spans="1:17" x14ac:dyDescent="0.3">
      <c r="A730">
        <v>1729</v>
      </c>
      <c r="B730" t="s">
        <v>608</v>
      </c>
      <c r="C730" t="s">
        <v>20</v>
      </c>
      <c r="D730" t="s">
        <v>24</v>
      </c>
      <c r="E730">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401</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5 days</v>
      </c>
    </row>
    <row r="731" spans="1:17" x14ac:dyDescent="0.3">
      <c r="A731">
        <v>1730</v>
      </c>
      <c r="B731" t="s">
        <v>368</v>
      </c>
      <c r="C731" t="s">
        <v>20</v>
      </c>
      <c r="D731" t="s">
        <v>11</v>
      </c>
      <c r="E731">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1094</v>
      </c>
      <c r="L733" cm="1">
        <f t="array" aca="1" ref="L733" ca="1">_xlfn.IFS(EmployeeData[[#This Row],[Status]]="Exited",DATEDIF(EmployeeData[[#This Row],[Join Date]], EmployeeData[[#This Row],[Exit Date]], "Y"),EmployeeData[[#This Row],[Status]]="Active",DATEDIF(EmployeeData[[#This Row],[Join Date]], TODAY(), "Y"))</f>
        <v>2</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29 days</v>
      </c>
    </row>
    <row r="734" spans="1:17" x14ac:dyDescent="0.3">
      <c r="A734">
        <v>1733</v>
      </c>
      <c r="B734" t="s">
        <v>548</v>
      </c>
      <c r="C734" t="s">
        <v>33</v>
      </c>
      <c r="D734" t="s">
        <v>24</v>
      </c>
      <c r="E734">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2365</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22 days</v>
      </c>
    </row>
    <row r="735" spans="1:17" x14ac:dyDescent="0.3">
      <c r="A735">
        <v>1734</v>
      </c>
      <c r="B735" t="s">
        <v>229</v>
      </c>
      <c r="C735" t="s">
        <v>20</v>
      </c>
      <c r="D735" t="s">
        <v>24</v>
      </c>
      <c r="E73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1082</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736" spans="1:17" x14ac:dyDescent="0.3">
      <c r="A736">
        <v>1735</v>
      </c>
      <c r="B736" t="s">
        <v>161</v>
      </c>
      <c r="C736" t="s">
        <v>23</v>
      </c>
      <c r="D736" t="s">
        <v>16</v>
      </c>
      <c r="E736">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884</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 days</v>
      </c>
    </row>
    <row r="737" spans="1:17" x14ac:dyDescent="0.3">
      <c r="A737">
        <v>1736</v>
      </c>
      <c r="B737" t="s">
        <v>763</v>
      </c>
      <c r="C737" t="s">
        <v>15</v>
      </c>
      <c r="D737" t="s">
        <v>24</v>
      </c>
      <c r="E737">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1286</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8 days</v>
      </c>
    </row>
    <row r="738" spans="1:17" x14ac:dyDescent="0.3">
      <c r="A738">
        <v>1737</v>
      </c>
      <c r="B738" t="s">
        <v>988</v>
      </c>
      <c r="C738" t="s">
        <v>33</v>
      </c>
      <c r="D738" t="s">
        <v>16</v>
      </c>
      <c r="E738">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1174</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740" spans="1:17" x14ac:dyDescent="0.3">
      <c r="A740">
        <v>1739</v>
      </c>
      <c r="B740" t="s">
        <v>164</v>
      </c>
      <c r="C740" t="s">
        <v>23</v>
      </c>
      <c r="D740" t="s">
        <v>11</v>
      </c>
      <c r="E740">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2700</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23 days</v>
      </c>
    </row>
    <row r="742" spans="1:17" x14ac:dyDescent="0.3">
      <c r="A742">
        <v>1741</v>
      </c>
      <c r="B742" t="s">
        <v>1080</v>
      </c>
      <c r="C742" t="s">
        <v>10</v>
      </c>
      <c r="D742" t="s">
        <v>24</v>
      </c>
      <c r="E742">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2751</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12 days</v>
      </c>
    </row>
    <row r="743" spans="1:17" x14ac:dyDescent="0.3">
      <c r="A743">
        <v>1742</v>
      </c>
      <c r="B743" t="s">
        <v>1081</v>
      </c>
      <c r="C743" t="s">
        <v>15</v>
      </c>
      <c r="D743" t="s">
        <v>24</v>
      </c>
      <c r="E743">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404</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44" spans="1:17" x14ac:dyDescent="0.3">
      <c r="A744">
        <v>1743</v>
      </c>
      <c r="B744" t="s">
        <v>731</v>
      </c>
      <c r="C744" t="s">
        <v>10</v>
      </c>
      <c r="D744" t="s">
        <v>11</v>
      </c>
      <c r="E744">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3007</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24 days</v>
      </c>
    </row>
    <row r="745" spans="1:17" x14ac:dyDescent="0.3">
      <c r="A745">
        <v>1744</v>
      </c>
      <c r="B745" t="s">
        <v>850</v>
      </c>
      <c r="C745" t="s">
        <v>33</v>
      </c>
      <c r="D745" t="s">
        <v>16</v>
      </c>
      <c r="E74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1722</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18 days</v>
      </c>
    </row>
    <row r="746" spans="1:17" x14ac:dyDescent="0.3">
      <c r="A746">
        <v>1745</v>
      </c>
      <c r="B746" t="s">
        <v>841</v>
      </c>
      <c r="C746" t="s">
        <v>10</v>
      </c>
      <c r="D746" t="s">
        <v>24</v>
      </c>
      <c r="E746">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496</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11 days</v>
      </c>
    </row>
    <row r="747" spans="1:17" x14ac:dyDescent="0.3">
      <c r="A747">
        <v>1746</v>
      </c>
      <c r="B747" t="s">
        <v>620</v>
      </c>
      <c r="C747" t="s">
        <v>15</v>
      </c>
      <c r="D747" t="s">
        <v>11</v>
      </c>
      <c r="E747">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2173</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12 days</v>
      </c>
    </row>
    <row r="748" spans="1:17" x14ac:dyDescent="0.3">
      <c r="A748">
        <v>1747</v>
      </c>
      <c r="B748" t="s">
        <v>795</v>
      </c>
      <c r="C748" t="s">
        <v>15</v>
      </c>
      <c r="D748" t="s">
        <v>24</v>
      </c>
      <c r="E748">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778</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17 days</v>
      </c>
    </row>
    <row r="749" spans="1:17" x14ac:dyDescent="0.3">
      <c r="A749">
        <v>1748</v>
      </c>
      <c r="B749" t="s">
        <v>253</v>
      </c>
      <c r="C749" t="s">
        <v>20</v>
      </c>
      <c r="D749" t="s">
        <v>16</v>
      </c>
      <c r="E749">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1325</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17 days</v>
      </c>
    </row>
    <row r="750" spans="1:17" x14ac:dyDescent="0.3">
      <c r="A750">
        <v>1749</v>
      </c>
      <c r="B750" t="s">
        <v>1045</v>
      </c>
      <c r="C750" t="s">
        <v>23</v>
      </c>
      <c r="D750" t="s">
        <v>24</v>
      </c>
      <c r="E750">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2359</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16 days</v>
      </c>
    </row>
    <row r="751" spans="1:17" x14ac:dyDescent="0.3">
      <c r="A751">
        <v>1750</v>
      </c>
      <c r="B751" t="s">
        <v>852</v>
      </c>
      <c r="C751" t="s">
        <v>20</v>
      </c>
      <c r="D751" t="s">
        <v>11</v>
      </c>
      <c r="E751">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2001</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24 days</v>
      </c>
    </row>
    <row r="752" spans="1:17" x14ac:dyDescent="0.3">
      <c r="A752">
        <v>1751</v>
      </c>
      <c r="B752" t="s">
        <v>750</v>
      </c>
      <c r="C752" t="s">
        <v>46</v>
      </c>
      <c r="D752" t="s">
        <v>11</v>
      </c>
      <c r="E752">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2835</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5 days</v>
      </c>
    </row>
    <row r="754" spans="1:17" x14ac:dyDescent="0.3">
      <c r="A754">
        <v>1753</v>
      </c>
      <c r="B754" t="s">
        <v>375</v>
      </c>
      <c r="C754" t="s">
        <v>20</v>
      </c>
      <c r="D754" t="s">
        <v>16</v>
      </c>
      <c r="E754">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2872</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11 days</v>
      </c>
    </row>
    <row r="757" spans="1:17" x14ac:dyDescent="0.3">
      <c r="A757">
        <v>1756</v>
      </c>
      <c r="B757" t="s">
        <v>853</v>
      </c>
      <c r="C757" t="s">
        <v>33</v>
      </c>
      <c r="D757" t="s">
        <v>11</v>
      </c>
      <c r="E757">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1610</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29 days</v>
      </c>
    </row>
    <row r="758" spans="1:17" x14ac:dyDescent="0.3">
      <c r="A758">
        <v>1757</v>
      </c>
      <c r="B758" t="s">
        <v>497</v>
      </c>
      <c r="C758" t="s">
        <v>20</v>
      </c>
      <c r="D758" t="s">
        <v>16</v>
      </c>
      <c r="E758">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760</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30 days</v>
      </c>
    </row>
    <row r="759" spans="1:17" x14ac:dyDescent="0.3">
      <c r="A759">
        <v>1758</v>
      </c>
      <c r="B759" t="s">
        <v>606</v>
      </c>
      <c r="C759" t="s">
        <v>23</v>
      </c>
      <c r="D759" t="s">
        <v>11</v>
      </c>
      <c r="E759">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2067</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29 days</v>
      </c>
    </row>
    <row r="760" spans="1:17" x14ac:dyDescent="0.3">
      <c r="A760">
        <v>1759</v>
      </c>
      <c r="B760" t="s">
        <v>264</v>
      </c>
      <c r="C760" t="s">
        <v>10</v>
      </c>
      <c r="D760" t="s">
        <v>24</v>
      </c>
      <c r="E760">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2132</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 days</v>
      </c>
    </row>
    <row r="761" spans="1:17" x14ac:dyDescent="0.3">
      <c r="A761">
        <v>1760</v>
      </c>
      <c r="B761" t="s">
        <v>198</v>
      </c>
      <c r="C761" t="s">
        <v>46</v>
      </c>
      <c r="D761" t="s">
        <v>24</v>
      </c>
      <c r="E761">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1612</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0 days</v>
      </c>
    </row>
    <row r="763" spans="1:17" x14ac:dyDescent="0.3">
      <c r="A763">
        <v>1762</v>
      </c>
      <c r="B763" t="s">
        <v>1079</v>
      </c>
      <c r="C763" t="s">
        <v>33</v>
      </c>
      <c r="D763" t="s">
        <v>24</v>
      </c>
      <c r="E763">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269</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764" spans="1:17" x14ac:dyDescent="0.3">
      <c r="A764">
        <v>1763</v>
      </c>
      <c r="B764" t="s">
        <v>1084</v>
      </c>
      <c r="C764" t="s">
        <v>23</v>
      </c>
      <c r="D764" t="s">
        <v>11</v>
      </c>
      <c r="E764">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908</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765" spans="1:17" x14ac:dyDescent="0.3">
      <c r="A765">
        <v>1764</v>
      </c>
      <c r="B765" t="s">
        <v>184</v>
      </c>
      <c r="C765" t="s">
        <v>46</v>
      </c>
      <c r="D765" t="s">
        <v>11</v>
      </c>
      <c r="E76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2729</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21 days</v>
      </c>
    </row>
    <row r="766" spans="1:17" x14ac:dyDescent="0.3">
      <c r="A766">
        <v>1765</v>
      </c>
      <c r="B766" t="s">
        <v>306</v>
      </c>
      <c r="C766" t="s">
        <v>46</v>
      </c>
      <c r="D766" t="s">
        <v>24</v>
      </c>
      <c r="E766">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2687</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10 days</v>
      </c>
    </row>
    <row r="768" spans="1:17" x14ac:dyDescent="0.3">
      <c r="A768">
        <v>1767</v>
      </c>
      <c r="B768" t="s">
        <v>332</v>
      </c>
      <c r="C768" t="s">
        <v>23</v>
      </c>
      <c r="D768" t="s">
        <v>11</v>
      </c>
      <c r="E768">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1242</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26 days</v>
      </c>
    </row>
    <row r="769" spans="1:17" x14ac:dyDescent="0.3">
      <c r="A769">
        <v>1768</v>
      </c>
      <c r="B769" t="s">
        <v>634</v>
      </c>
      <c r="C769" t="s">
        <v>23</v>
      </c>
      <c r="D769" t="s">
        <v>11</v>
      </c>
      <c r="E769">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3086</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13 days</v>
      </c>
    </row>
    <row r="770" spans="1:17" x14ac:dyDescent="0.3">
      <c r="A770">
        <v>1769</v>
      </c>
      <c r="B770" t="s">
        <v>483</v>
      </c>
      <c r="C770" t="s">
        <v>15</v>
      </c>
      <c r="D770" t="s">
        <v>24</v>
      </c>
      <c r="E770">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665</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771" spans="1:17" x14ac:dyDescent="0.3">
      <c r="A771">
        <v>1770</v>
      </c>
      <c r="B771" t="s">
        <v>93</v>
      </c>
      <c r="C771" t="s">
        <v>10</v>
      </c>
      <c r="D771" t="s">
        <v>11</v>
      </c>
      <c r="E771">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811</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73" spans="1:17" x14ac:dyDescent="0.3">
      <c r="A773">
        <v>1772</v>
      </c>
      <c r="B773" t="s">
        <v>660</v>
      </c>
      <c r="C773" t="s">
        <v>15</v>
      </c>
      <c r="D773" t="s">
        <v>11</v>
      </c>
      <c r="E773">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2895</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3 days</v>
      </c>
    </row>
    <row r="774" spans="1:17" x14ac:dyDescent="0.3">
      <c r="A774">
        <v>1773</v>
      </c>
      <c r="B774" t="s">
        <v>787</v>
      </c>
      <c r="C774" t="s">
        <v>46</v>
      </c>
      <c r="D774" t="s">
        <v>16</v>
      </c>
      <c r="E774">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1919</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 days</v>
      </c>
    </row>
    <row r="776" spans="1:17" x14ac:dyDescent="0.3">
      <c r="A776">
        <v>1775</v>
      </c>
      <c r="B776" t="s">
        <v>554</v>
      </c>
      <c r="C776" t="s">
        <v>23</v>
      </c>
      <c r="D776" t="s">
        <v>11</v>
      </c>
      <c r="E776">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1584</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3 days</v>
      </c>
    </row>
    <row r="778" spans="1:17" x14ac:dyDescent="0.3">
      <c r="A778">
        <v>1777</v>
      </c>
      <c r="B778" t="s">
        <v>501</v>
      </c>
      <c r="C778" t="s">
        <v>33</v>
      </c>
      <c r="D778" t="s">
        <v>11</v>
      </c>
      <c r="E778">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1647</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4 days</v>
      </c>
    </row>
    <row r="780" spans="1:17" x14ac:dyDescent="0.3">
      <c r="A780">
        <v>1779</v>
      </c>
      <c r="B780" t="s">
        <v>137</v>
      </c>
      <c r="C780" t="s">
        <v>15</v>
      </c>
      <c r="D780" t="s">
        <v>16</v>
      </c>
      <c r="E780">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1859</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781" spans="1:17" x14ac:dyDescent="0.3">
      <c r="A781">
        <v>1780</v>
      </c>
      <c r="B781" t="s">
        <v>1064</v>
      </c>
      <c r="C781" t="s">
        <v>23</v>
      </c>
      <c r="D781" t="s">
        <v>24</v>
      </c>
      <c r="E781">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2403</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30 days</v>
      </c>
    </row>
    <row r="782" spans="1:17" x14ac:dyDescent="0.3">
      <c r="A782">
        <v>1781</v>
      </c>
      <c r="B782" t="s">
        <v>678</v>
      </c>
      <c r="C782" t="s">
        <v>20</v>
      </c>
      <c r="D782" t="s">
        <v>24</v>
      </c>
      <c r="E782">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2931</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9 days</v>
      </c>
    </row>
    <row r="786" spans="1:17" x14ac:dyDescent="0.3">
      <c r="A786">
        <v>1785</v>
      </c>
      <c r="B786" t="s">
        <v>970</v>
      </c>
      <c r="C786" t="s">
        <v>33</v>
      </c>
      <c r="D786" t="s">
        <v>11</v>
      </c>
      <c r="E786">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708</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8 days</v>
      </c>
    </row>
    <row r="788" spans="1:17" x14ac:dyDescent="0.3">
      <c r="A788">
        <v>1787</v>
      </c>
      <c r="B788" t="s">
        <v>570</v>
      </c>
      <c r="C788" t="s">
        <v>15</v>
      </c>
      <c r="D788" t="s">
        <v>11</v>
      </c>
      <c r="E788">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1058</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23 days</v>
      </c>
    </row>
    <row r="789" spans="1:17" x14ac:dyDescent="0.3">
      <c r="A789">
        <v>1788</v>
      </c>
      <c r="B789" t="s">
        <v>266</v>
      </c>
      <c r="C789" t="s">
        <v>10</v>
      </c>
      <c r="D789" t="s">
        <v>24</v>
      </c>
      <c r="E789">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2919</v>
      </c>
      <c r="L790" cm="1">
        <f t="array" aca="1" ref="L790" ca="1">_xlfn.IFS(EmployeeData[[#This Row],[Status]]="Exited",DATEDIF(EmployeeData[[#This Row],[Join Date]], EmployeeData[[#This Row],[Exit Date]], "Y"),EmployeeData[[#This Row],[Status]]="Active",DATEDIF(EmployeeData[[#This Row],[Join Date]], TODAY(), "Y"))</f>
        <v>7</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28 days</v>
      </c>
    </row>
    <row r="791" spans="1:17" x14ac:dyDescent="0.3">
      <c r="A791">
        <v>1790</v>
      </c>
      <c r="B791" t="s">
        <v>749</v>
      </c>
      <c r="C791" t="s">
        <v>46</v>
      </c>
      <c r="D791" t="s">
        <v>11</v>
      </c>
      <c r="E791">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2719</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11 days</v>
      </c>
    </row>
    <row r="793" spans="1:17" x14ac:dyDescent="0.3">
      <c r="A793">
        <v>1792</v>
      </c>
      <c r="B793" t="s">
        <v>358</v>
      </c>
      <c r="C793" t="s">
        <v>33</v>
      </c>
      <c r="D793" t="s">
        <v>16</v>
      </c>
      <c r="E793">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2431</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27 days</v>
      </c>
    </row>
    <row r="794" spans="1:17" x14ac:dyDescent="0.3">
      <c r="A794">
        <v>1793</v>
      </c>
      <c r="B794" t="s">
        <v>377</v>
      </c>
      <c r="C794" t="s">
        <v>46</v>
      </c>
      <c r="D794" t="s">
        <v>16</v>
      </c>
      <c r="E794">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1088</v>
      </c>
      <c r="L794" cm="1">
        <f t="array" aca="1" ref="L794" ca="1">_xlfn.IFS(EmployeeData[[#This Row],[Status]]="Exited",DATEDIF(EmployeeData[[#This Row],[Join Date]], EmployeeData[[#This Row],[Exit Date]], "Y"),EmployeeData[[#This Row],[Status]]="Active",DATEDIF(EmployeeData[[#This Row],[Join Date]], TODAY(), "Y"))</f>
        <v>2</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22 days</v>
      </c>
    </row>
    <row r="795" spans="1:17" x14ac:dyDescent="0.3">
      <c r="A795">
        <v>1794</v>
      </c>
      <c r="B795" t="s">
        <v>621</v>
      </c>
      <c r="C795" t="s">
        <v>10</v>
      </c>
      <c r="D795" t="s">
        <v>16</v>
      </c>
      <c r="E79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1070</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4 days</v>
      </c>
    </row>
    <row r="798" spans="1:17" x14ac:dyDescent="0.3">
      <c r="A798">
        <v>1797</v>
      </c>
      <c r="B798" t="s">
        <v>507</v>
      </c>
      <c r="C798" t="s">
        <v>15</v>
      </c>
      <c r="D798" t="s">
        <v>11</v>
      </c>
      <c r="E798">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2490</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25 days</v>
      </c>
    </row>
    <row r="799" spans="1:17" x14ac:dyDescent="0.3">
      <c r="A799">
        <v>1798</v>
      </c>
      <c r="B799" t="s">
        <v>247</v>
      </c>
      <c r="C799" t="s">
        <v>23</v>
      </c>
      <c r="D799" t="s">
        <v>24</v>
      </c>
      <c r="E799">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2764</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25 days</v>
      </c>
    </row>
    <row r="801" spans="1:17" x14ac:dyDescent="0.3">
      <c r="A801">
        <v>1800</v>
      </c>
      <c r="B801" t="s">
        <v>663</v>
      </c>
      <c r="C801" t="s">
        <v>23</v>
      </c>
      <c r="D801" t="s">
        <v>11</v>
      </c>
      <c r="E801">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1214</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29 days</v>
      </c>
    </row>
    <row r="804" spans="1:17" x14ac:dyDescent="0.3">
      <c r="A804">
        <v>1803</v>
      </c>
      <c r="B804" t="s">
        <v>252</v>
      </c>
      <c r="C804" t="s">
        <v>46</v>
      </c>
      <c r="D804" t="s">
        <v>24</v>
      </c>
      <c r="E804">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2418</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14 days</v>
      </c>
    </row>
    <row r="807" spans="1:17" x14ac:dyDescent="0.3">
      <c r="A807">
        <v>1806</v>
      </c>
      <c r="B807" t="s">
        <v>460</v>
      </c>
      <c r="C807" t="s">
        <v>23</v>
      </c>
      <c r="D807" t="s">
        <v>16</v>
      </c>
      <c r="E807">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2149</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19 days</v>
      </c>
    </row>
    <row r="810" spans="1:17" x14ac:dyDescent="0.3">
      <c r="A810">
        <v>1809</v>
      </c>
      <c r="B810" t="s">
        <v>454</v>
      </c>
      <c r="C810" t="s">
        <v>23</v>
      </c>
      <c r="D810" t="s">
        <v>16</v>
      </c>
      <c r="E810">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2199</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8 days</v>
      </c>
    </row>
    <row r="812" spans="1:17" x14ac:dyDescent="0.3">
      <c r="A812">
        <v>1811</v>
      </c>
      <c r="B812" t="s">
        <v>236</v>
      </c>
      <c r="C812" t="s">
        <v>20</v>
      </c>
      <c r="D812" t="s">
        <v>24</v>
      </c>
      <c r="E812">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1500</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813" spans="1:17" x14ac:dyDescent="0.3">
      <c r="A813">
        <v>1812</v>
      </c>
      <c r="B813" t="s">
        <v>855</v>
      </c>
      <c r="C813" t="s">
        <v>33</v>
      </c>
      <c r="D813" t="s">
        <v>24</v>
      </c>
      <c r="E813">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269</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14" spans="1:17" x14ac:dyDescent="0.3">
      <c r="A814">
        <v>1813</v>
      </c>
      <c r="B814" t="s">
        <v>437</v>
      </c>
      <c r="C814" t="s">
        <v>23</v>
      </c>
      <c r="D814" t="s">
        <v>16</v>
      </c>
      <c r="E814">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2968</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15 days</v>
      </c>
    </row>
    <row r="816" spans="1:17" x14ac:dyDescent="0.3">
      <c r="A816">
        <v>1815</v>
      </c>
      <c r="B816" t="s">
        <v>340</v>
      </c>
      <c r="C816" t="s">
        <v>15</v>
      </c>
      <c r="D816" t="s">
        <v>16</v>
      </c>
      <c r="E816">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1705</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 days</v>
      </c>
    </row>
    <row r="817" spans="1:17" x14ac:dyDescent="0.3">
      <c r="A817">
        <v>1816</v>
      </c>
      <c r="B817" t="s">
        <v>86</v>
      </c>
      <c r="C817" t="s">
        <v>33</v>
      </c>
      <c r="D817" t="s">
        <v>11</v>
      </c>
      <c r="E817">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1026</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22 days</v>
      </c>
    </row>
    <row r="820" spans="1:17" x14ac:dyDescent="0.3">
      <c r="A820">
        <v>1819</v>
      </c>
      <c r="B820" t="s">
        <v>605</v>
      </c>
      <c r="C820" t="s">
        <v>10</v>
      </c>
      <c r="D820" t="s">
        <v>16</v>
      </c>
      <c r="E820">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1300</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22 days</v>
      </c>
    </row>
    <row r="821" spans="1:17" x14ac:dyDescent="0.3">
      <c r="A821">
        <v>1820</v>
      </c>
      <c r="B821" t="s">
        <v>276</v>
      </c>
      <c r="C821" t="s">
        <v>23</v>
      </c>
      <c r="D821" t="s">
        <v>16</v>
      </c>
      <c r="E821">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1342</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3 days</v>
      </c>
    </row>
    <row r="823" spans="1:17" x14ac:dyDescent="0.3">
      <c r="A823">
        <v>1822</v>
      </c>
      <c r="B823" t="s">
        <v>479</v>
      </c>
      <c r="C823" t="s">
        <v>23</v>
      </c>
      <c r="D823" t="s">
        <v>11</v>
      </c>
      <c r="E823">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2847</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17 days</v>
      </c>
    </row>
    <row r="825" spans="1:17" x14ac:dyDescent="0.3">
      <c r="A825">
        <v>1824</v>
      </c>
      <c r="B825" t="s">
        <v>1033</v>
      </c>
      <c r="C825" t="s">
        <v>15</v>
      </c>
      <c r="D825" t="s">
        <v>24</v>
      </c>
      <c r="E82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1887</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0 days</v>
      </c>
    </row>
    <row r="826" spans="1:17" x14ac:dyDescent="0.3">
      <c r="A826">
        <v>1825</v>
      </c>
      <c r="B826" t="s">
        <v>67</v>
      </c>
      <c r="C826" t="s">
        <v>10</v>
      </c>
      <c r="D826" t="s">
        <v>24</v>
      </c>
      <c r="E826">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937</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24 days</v>
      </c>
    </row>
    <row r="827" spans="1:17" x14ac:dyDescent="0.3">
      <c r="A827">
        <v>1826</v>
      </c>
      <c r="B827" t="s">
        <v>239</v>
      </c>
      <c r="C827" t="s">
        <v>33</v>
      </c>
      <c r="D827" t="s">
        <v>24</v>
      </c>
      <c r="E827">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967</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24 days</v>
      </c>
    </row>
    <row r="829" spans="1:17" x14ac:dyDescent="0.3">
      <c r="A829">
        <v>1828</v>
      </c>
      <c r="B829" t="s">
        <v>85</v>
      </c>
      <c r="C829" t="s">
        <v>23</v>
      </c>
      <c r="D829" t="s">
        <v>11</v>
      </c>
      <c r="E829">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782</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832" spans="1:17" x14ac:dyDescent="0.3">
      <c r="A832">
        <v>1831</v>
      </c>
      <c r="B832" t="s">
        <v>1082</v>
      </c>
      <c r="C832" t="s">
        <v>10</v>
      </c>
      <c r="D832" t="s">
        <v>11</v>
      </c>
      <c r="E832">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2498</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834" spans="1:17" x14ac:dyDescent="0.3">
      <c r="A834">
        <v>1833</v>
      </c>
      <c r="B834" t="s">
        <v>240</v>
      </c>
      <c r="C834" t="s">
        <v>33</v>
      </c>
      <c r="D834" t="s">
        <v>24</v>
      </c>
      <c r="E834">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276</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3 days</v>
      </c>
    </row>
    <row r="836" spans="1:17" x14ac:dyDescent="0.3">
      <c r="A836">
        <v>1835</v>
      </c>
      <c r="B836" t="s">
        <v>601</v>
      </c>
      <c r="C836" t="s">
        <v>33</v>
      </c>
      <c r="D836" t="s">
        <v>16</v>
      </c>
      <c r="E836">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1113</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837" spans="1:17" x14ac:dyDescent="0.3">
      <c r="A837">
        <v>1836</v>
      </c>
      <c r="B837" t="s">
        <v>535</v>
      </c>
      <c r="C837" t="s">
        <v>20</v>
      </c>
      <c r="D837" t="s">
        <v>24</v>
      </c>
      <c r="E837">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2456</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21 days</v>
      </c>
    </row>
    <row r="838" spans="1:17" x14ac:dyDescent="0.3">
      <c r="A838">
        <v>1837</v>
      </c>
      <c r="B838" t="s">
        <v>84</v>
      </c>
      <c r="C838" t="s">
        <v>10</v>
      </c>
      <c r="D838" t="s">
        <v>16</v>
      </c>
      <c r="E838">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2822</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22 days</v>
      </c>
    </row>
    <row r="841" spans="1:17" x14ac:dyDescent="0.3">
      <c r="A841">
        <v>1840</v>
      </c>
      <c r="B841" t="s">
        <v>1007</v>
      </c>
      <c r="C841" t="s">
        <v>46</v>
      </c>
      <c r="D841" t="s">
        <v>11</v>
      </c>
      <c r="E841">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539</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23 days</v>
      </c>
    </row>
    <row r="843" spans="1:17" x14ac:dyDescent="0.3">
      <c r="A843">
        <v>1842</v>
      </c>
      <c r="B843" t="s">
        <v>561</v>
      </c>
      <c r="C843" t="s">
        <v>10</v>
      </c>
      <c r="D843" t="s">
        <v>16</v>
      </c>
      <c r="E843">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1962</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16 days</v>
      </c>
    </row>
    <row r="844" spans="1:17" x14ac:dyDescent="0.3">
      <c r="A844">
        <v>1843</v>
      </c>
      <c r="B844" t="s">
        <v>971</v>
      </c>
      <c r="C844" t="s">
        <v>23</v>
      </c>
      <c r="D844" t="s">
        <v>16</v>
      </c>
      <c r="E844">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2362</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19 days</v>
      </c>
    </row>
    <row r="846" spans="1:17" x14ac:dyDescent="0.3">
      <c r="A846">
        <v>1845</v>
      </c>
      <c r="B846" t="s">
        <v>927</v>
      </c>
      <c r="C846" t="s">
        <v>15</v>
      </c>
      <c r="D846" t="s">
        <v>24</v>
      </c>
      <c r="E846">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1453</v>
      </c>
      <c r="L846" cm="1">
        <f t="array" aca="1" ref="L846" ca="1">_xlfn.IFS(EmployeeData[[#This Row],[Status]]="Exited",DATEDIF(EmployeeData[[#This Row],[Join Date]], EmployeeData[[#This Row],[Exit Date]], "Y"),EmployeeData[[#This Row],[Status]]="Active",DATEDIF(EmployeeData[[#This Row],[Join Date]], TODAY(), "Y"))</f>
        <v>3</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22 days</v>
      </c>
    </row>
    <row r="847" spans="1:17" x14ac:dyDescent="0.3">
      <c r="A847">
        <v>1846</v>
      </c>
      <c r="B847" t="s">
        <v>928</v>
      </c>
      <c r="C847" t="s">
        <v>10</v>
      </c>
      <c r="D847" t="s">
        <v>11</v>
      </c>
      <c r="E847">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1430</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30 days</v>
      </c>
    </row>
    <row r="849" spans="1:17" x14ac:dyDescent="0.3">
      <c r="A849">
        <v>1848</v>
      </c>
      <c r="B849" t="s">
        <v>48</v>
      </c>
      <c r="C849" t="s">
        <v>15</v>
      </c>
      <c r="D849" t="s">
        <v>11</v>
      </c>
      <c r="E849">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2130</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0 days</v>
      </c>
    </row>
    <row r="851" spans="1:17" x14ac:dyDescent="0.3">
      <c r="A851">
        <v>1850</v>
      </c>
      <c r="B851" t="s">
        <v>211</v>
      </c>
      <c r="C851" t="s">
        <v>10</v>
      </c>
      <c r="D851" t="s">
        <v>16</v>
      </c>
      <c r="E851">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1851</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25 days</v>
      </c>
    </row>
    <row r="853" spans="1:17" x14ac:dyDescent="0.3">
      <c r="A853">
        <v>1852</v>
      </c>
      <c r="B853" t="s">
        <v>419</v>
      </c>
      <c r="C853" t="s">
        <v>23</v>
      </c>
      <c r="D853" t="s">
        <v>11</v>
      </c>
      <c r="E853">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1569</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16 days</v>
      </c>
    </row>
    <row r="854" spans="1:17" x14ac:dyDescent="0.3">
      <c r="A854">
        <v>1853</v>
      </c>
      <c r="B854" t="s">
        <v>342</v>
      </c>
      <c r="C854" t="s">
        <v>46</v>
      </c>
      <c r="D854" t="s">
        <v>24</v>
      </c>
      <c r="E854">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3094</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21 days</v>
      </c>
    </row>
    <row r="855" spans="1:17" x14ac:dyDescent="0.3">
      <c r="A855">
        <v>1854</v>
      </c>
      <c r="B855" t="s">
        <v>985</v>
      </c>
      <c r="C855" t="s">
        <v>15</v>
      </c>
      <c r="D855" t="s">
        <v>11</v>
      </c>
      <c r="E85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1979</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 days</v>
      </c>
    </row>
    <row r="856" spans="1:17" x14ac:dyDescent="0.3">
      <c r="A856">
        <v>1855</v>
      </c>
      <c r="B856" t="s">
        <v>338</v>
      </c>
      <c r="C856" t="s">
        <v>15</v>
      </c>
      <c r="D856" t="s">
        <v>11</v>
      </c>
      <c r="E856">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598</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858" spans="1:17" x14ac:dyDescent="0.3">
      <c r="A858">
        <v>1857</v>
      </c>
      <c r="B858" t="s">
        <v>567</v>
      </c>
      <c r="C858" t="s">
        <v>23</v>
      </c>
      <c r="D858" t="s">
        <v>11</v>
      </c>
      <c r="E858">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3081</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8 days</v>
      </c>
    </row>
    <row r="860" spans="1:17" x14ac:dyDescent="0.3">
      <c r="A860">
        <v>1859</v>
      </c>
      <c r="B860" t="s">
        <v>367</v>
      </c>
      <c r="C860" t="s">
        <v>20</v>
      </c>
      <c r="D860" t="s">
        <v>24</v>
      </c>
      <c r="E860">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2373</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30 days</v>
      </c>
    </row>
    <row r="862" spans="1:17" x14ac:dyDescent="0.3">
      <c r="A862">
        <v>1861</v>
      </c>
      <c r="B862" t="s">
        <v>268</v>
      </c>
      <c r="C862" t="s">
        <v>10</v>
      </c>
      <c r="D862" t="s">
        <v>16</v>
      </c>
      <c r="E862">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1947</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 days</v>
      </c>
    </row>
    <row r="863" spans="1:17" x14ac:dyDescent="0.3">
      <c r="A863">
        <v>1862</v>
      </c>
      <c r="B863" t="s">
        <v>481</v>
      </c>
      <c r="C863" t="s">
        <v>33</v>
      </c>
      <c r="D863" t="s">
        <v>16</v>
      </c>
      <c r="E863">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1327</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19 days</v>
      </c>
    </row>
    <row r="868" spans="1:17" x14ac:dyDescent="0.3">
      <c r="A868">
        <v>1867</v>
      </c>
      <c r="B868" t="s">
        <v>906</v>
      </c>
      <c r="C868" t="s">
        <v>23</v>
      </c>
      <c r="D868" t="s">
        <v>24</v>
      </c>
      <c r="E868">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2174</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13 days</v>
      </c>
    </row>
    <row r="870" spans="1:17" x14ac:dyDescent="0.3">
      <c r="A870">
        <v>1869</v>
      </c>
      <c r="B870" t="s">
        <v>1044</v>
      </c>
      <c r="C870" t="s">
        <v>15</v>
      </c>
      <c r="D870" t="s">
        <v>24</v>
      </c>
      <c r="E870">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534</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18 days</v>
      </c>
    </row>
    <row r="871" spans="1:17" x14ac:dyDescent="0.3">
      <c r="A871">
        <v>1870</v>
      </c>
      <c r="B871" t="s">
        <v>665</v>
      </c>
      <c r="C871" t="s">
        <v>23</v>
      </c>
      <c r="D871" t="s">
        <v>24</v>
      </c>
      <c r="E871">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2707</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30 days</v>
      </c>
    </row>
    <row r="873" spans="1:17" x14ac:dyDescent="0.3">
      <c r="A873">
        <v>1872</v>
      </c>
      <c r="B873" t="s">
        <v>825</v>
      </c>
      <c r="C873" t="s">
        <v>46</v>
      </c>
      <c r="D873" t="s">
        <v>24</v>
      </c>
      <c r="E873">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432</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6 days</v>
      </c>
    </row>
    <row r="876" spans="1:17" x14ac:dyDescent="0.3">
      <c r="A876">
        <v>1875</v>
      </c>
      <c r="B876" t="s">
        <v>585</v>
      </c>
      <c r="C876" t="s">
        <v>15</v>
      </c>
      <c r="D876" t="s">
        <v>16</v>
      </c>
      <c r="E876">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670</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 days</v>
      </c>
    </row>
    <row r="877" spans="1:17" x14ac:dyDescent="0.3">
      <c r="A877">
        <v>1876</v>
      </c>
      <c r="B877" t="s">
        <v>631</v>
      </c>
      <c r="C877" t="s">
        <v>10</v>
      </c>
      <c r="D877" t="s">
        <v>24</v>
      </c>
      <c r="E877">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2495</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30 days</v>
      </c>
    </row>
    <row r="879" spans="1:17" x14ac:dyDescent="0.3">
      <c r="A879">
        <v>1878</v>
      </c>
      <c r="B879" t="s">
        <v>639</v>
      </c>
      <c r="C879" t="s">
        <v>23</v>
      </c>
      <c r="D879" t="s">
        <v>24</v>
      </c>
      <c r="E879">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363</v>
      </c>
      <c r="L880" cm="1">
        <f t="array" aca="1" ref="L880" ca="1">_xlfn.IFS(EmployeeData[[#This Row],[Status]]="Exited",DATEDIF(EmployeeData[[#This Row],[Join Date]], EmployeeData[[#This Row],[Exit Date]], "Y"),EmployeeData[[#This Row],[Status]]="Active",DATEDIF(EmployeeData[[#This Row],[Join Date]], TODAY(), "Y"))</f>
        <v>0</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29 days</v>
      </c>
    </row>
    <row r="881" spans="1:17" x14ac:dyDescent="0.3">
      <c r="A881">
        <v>1880</v>
      </c>
      <c r="B881" t="s">
        <v>147</v>
      </c>
      <c r="C881" t="s">
        <v>33</v>
      </c>
      <c r="D881" t="s">
        <v>24</v>
      </c>
      <c r="E881">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3013</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30 days</v>
      </c>
    </row>
    <row r="886" spans="1:17" x14ac:dyDescent="0.3">
      <c r="A886">
        <v>1885</v>
      </c>
      <c r="B886" t="s">
        <v>1015</v>
      </c>
      <c r="C886" t="s">
        <v>33</v>
      </c>
      <c r="D886" t="s">
        <v>24</v>
      </c>
      <c r="E886">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1849</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23 days</v>
      </c>
    </row>
    <row r="887" spans="1:17" x14ac:dyDescent="0.3">
      <c r="A887">
        <v>1886</v>
      </c>
      <c r="B887" t="s">
        <v>848</v>
      </c>
      <c r="C887" t="s">
        <v>46</v>
      </c>
      <c r="D887" t="s">
        <v>11</v>
      </c>
      <c r="E887">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2909</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17 days</v>
      </c>
    </row>
    <row r="889" spans="1:17" x14ac:dyDescent="0.3">
      <c r="A889">
        <v>1888</v>
      </c>
      <c r="B889" t="s">
        <v>58</v>
      </c>
      <c r="C889" t="s">
        <v>10</v>
      </c>
      <c r="D889" t="s">
        <v>16</v>
      </c>
      <c r="E889">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2880</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19 days</v>
      </c>
    </row>
    <row r="890" spans="1:17" x14ac:dyDescent="0.3">
      <c r="A890">
        <v>1889</v>
      </c>
      <c r="B890" t="s">
        <v>281</v>
      </c>
      <c r="C890" t="s">
        <v>46</v>
      </c>
      <c r="D890" t="s">
        <v>11</v>
      </c>
      <c r="E890">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2765</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27 days</v>
      </c>
    </row>
    <row r="891" spans="1:17" x14ac:dyDescent="0.3">
      <c r="A891">
        <v>1890</v>
      </c>
      <c r="B891" t="s">
        <v>693</v>
      </c>
      <c r="C891" t="s">
        <v>20</v>
      </c>
      <c r="D891" t="s">
        <v>24</v>
      </c>
      <c r="E891">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1566</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13 days</v>
      </c>
    </row>
    <row r="892" spans="1:17" x14ac:dyDescent="0.3">
      <c r="A892">
        <v>1891</v>
      </c>
      <c r="B892" t="s">
        <v>364</v>
      </c>
      <c r="C892" t="s">
        <v>23</v>
      </c>
      <c r="D892" t="s">
        <v>24</v>
      </c>
      <c r="E892">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1593</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12 days</v>
      </c>
    </row>
    <row r="896" spans="1:17" x14ac:dyDescent="0.3">
      <c r="A896">
        <v>1895</v>
      </c>
      <c r="B896" t="s">
        <v>241</v>
      </c>
      <c r="C896" t="s">
        <v>10</v>
      </c>
      <c r="D896" t="s">
        <v>16</v>
      </c>
      <c r="E896">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1628</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897" spans="1:17" x14ac:dyDescent="0.3">
      <c r="A897">
        <v>1896</v>
      </c>
      <c r="B897" t="s">
        <v>616</v>
      </c>
      <c r="C897" t="s">
        <v>33</v>
      </c>
      <c r="D897" t="s">
        <v>11</v>
      </c>
      <c r="E897">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2318</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6 days</v>
      </c>
    </row>
    <row r="899" spans="1:17" x14ac:dyDescent="0.3">
      <c r="A899">
        <v>1898</v>
      </c>
      <c r="B899" t="s">
        <v>939</v>
      </c>
      <c r="C899" t="s">
        <v>46</v>
      </c>
      <c r="D899" t="s">
        <v>16</v>
      </c>
      <c r="E899">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1944</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29 days</v>
      </c>
    </row>
    <row r="900" spans="1:17" x14ac:dyDescent="0.3">
      <c r="A900">
        <v>1899</v>
      </c>
      <c r="B900" t="s">
        <v>647</v>
      </c>
      <c r="C900" t="s">
        <v>20</v>
      </c>
      <c r="D900" t="s">
        <v>16</v>
      </c>
      <c r="E900">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2487</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22 days</v>
      </c>
    </row>
    <row r="901" spans="1:17" x14ac:dyDescent="0.3">
      <c r="A901">
        <v>1900</v>
      </c>
      <c r="B901" t="s">
        <v>1039</v>
      </c>
      <c r="C901" t="s">
        <v>15</v>
      </c>
      <c r="D901" t="s">
        <v>16</v>
      </c>
      <c r="E901">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835</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13 days</v>
      </c>
    </row>
    <row r="902" spans="1:17" x14ac:dyDescent="0.3">
      <c r="A902">
        <v>1901</v>
      </c>
      <c r="B902" t="s">
        <v>991</v>
      </c>
      <c r="C902" t="s">
        <v>10</v>
      </c>
      <c r="D902" t="s">
        <v>16</v>
      </c>
      <c r="E902">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2240</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903" spans="1:17" x14ac:dyDescent="0.3">
      <c r="A903">
        <v>1902</v>
      </c>
      <c r="B903" t="s">
        <v>35</v>
      </c>
      <c r="C903" t="s">
        <v>10</v>
      </c>
      <c r="D903" t="s">
        <v>11</v>
      </c>
      <c r="E903">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400</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4 days</v>
      </c>
    </row>
    <row r="904" spans="1:17" x14ac:dyDescent="0.3">
      <c r="A904">
        <v>1903</v>
      </c>
      <c r="B904" t="s">
        <v>913</v>
      </c>
      <c r="C904" t="s">
        <v>20</v>
      </c>
      <c r="D904" t="s">
        <v>11</v>
      </c>
      <c r="E904">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1763</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29 days</v>
      </c>
    </row>
    <row r="905" spans="1:17" x14ac:dyDescent="0.3">
      <c r="A905">
        <v>1904</v>
      </c>
      <c r="B905" t="s">
        <v>173</v>
      </c>
      <c r="C905" t="s">
        <v>15</v>
      </c>
      <c r="D905" t="s">
        <v>11</v>
      </c>
      <c r="E90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771</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10 days</v>
      </c>
    </row>
    <row r="906" spans="1:17" x14ac:dyDescent="0.3">
      <c r="A906">
        <v>1905</v>
      </c>
      <c r="B906" t="s">
        <v>260</v>
      </c>
      <c r="C906" t="s">
        <v>46</v>
      </c>
      <c r="D906" t="s">
        <v>16</v>
      </c>
      <c r="E906">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2838</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8 days</v>
      </c>
    </row>
    <row r="907" spans="1:17" x14ac:dyDescent="0.3">
      <c r="A907">
        <v>1906</v>
      </c>
      <c r="B907" t="s">
        <v>42</v>
      </c>
      <c r="C907" t="s">
        <v>23</v>
      </c>
      <c r="D907" t="s">
        <v>16</v>
      </c>
      <c r="E907">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2671</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22 days</v>
      </c>
    </row>
    <row r="908" spans="1:17" x14ac:dyDescent="0.3">
      <c r="A908">
        <v>1907</v>
      </c>
      <c r="B908" t="s">
        <v>38</v>
      </c>
      <c r="C908" t="s">
        <v>23</v>
      </c>
      <c r="D908" t="s">
        <v>16</v>
      </c>
      <c r="E908">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2814</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14 days</v>
      </c>
    </row>
    <row r="909" spans="1:17" x14ac:dyDescent="0.3">
      <c r="A909">
        <v>1908</v>
      </c>
      <c r="B909" t="s">
        <v>789</v>
      </c>
      <c r="C909" t="s">
        <v>20</v>
      </c>
      <c r="D909" t="s">
        <v>16</v>
      </c>
      <c r="E909">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1589</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8 days</v>
      </c>
    </row>
    <row r="910" spans="1:17" x14ac:dyDescent="0.3">
      <c r="A910">
        <v>1909</v>
      </c>
      <c r="B910" t="s">
        <v>851</v>
      </c>
      <c r="C910" t="s">
        <v>10</v>
      </c>
      <c r="D910" t="s">
        <v>16</v>
      </c>
      <c r="E910">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2570</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13 days</v>
      </c>
    </row>
    <row r="911" spans="1:17" x14ac:dyDescent="0.3">
      <c r="A911">
        <v>1910</v>
      </c>
      <c r="B911" t="s">
        <v>325</v>
      </c>
      <c r="C911" t="s">
        <v>15</v>
      </c>
      <c r="D911" t="s">
        <v>16</v>
      </c>
      <c r="E911">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376</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912" spans="1:17" x14ac:dyDescent="0.3">
      <c r="A912">
        <v>1911</v>
      </c>
      <c r="B912" t="s">
        <v>586</v>
      </c>
      <c r="C912" t="s">
        <v>10</v>
      </c>
      <c r="D912" t="s">
        <v>16</v>
      </c>
      <c r="E912">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1919</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 days</v>
      </c>
    </row>
    <row r="914" spans="1:17" x14ac:dyDescent="0.3">
      <c r="A914">
        <v>1913</v>
      </c>
      <c r="B914" t="s">
        <v>624</v>
      </c>
      <c r="C914" t="s">
        <v>20</v>
      </c>
      <c r="D914" t="s">
        <v>16</v>
      </c>
      <c r="E914">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237</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25 days</v>
      </c>
    </row>
    <row r="916" spans="1:17" x14ac:dyDescent="0.3">
      <c r="A916">
        <v>1915</v>
      </c>
      <c r="B916" t="s">
        <v>813</v>
      </c>
      <c r="C916" t="s">
        <v>20</v>
      </c>
      <c r="D916" t="s">
        <v>16</v>
      </c>
      <c r="E916">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1077</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917" spans="1:17" x14ac:dyDescent="0.3">
      <c r="A917">
        <v>1916</v>
      </c>
      <c r="B917" t="s">
        <v>436</v>
      </c>
      <c r="C917" t="s">
        <v>15</v>
      </c>
      <c r="D917" t="s">
        <v>16</v>
      </c>
      <c r="E917">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1419</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19 days</v>
      </c>
    </row>
    <row r="918" spans="1:17" x14ac:dyDescent="0.3">
      <c r="A918">
        <v>1917</v>
      </c>
      <c r="B918" t="s">
        <v>200</v>
      </c>
      <c r="C918" t="s">
        <v>15</v>
      </c>
      <c r="D918" t="s">
        <v>24</v>
      </c>
      <c r="E918">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1113</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920" spans="1:17" x14ac:dyDescent="0.3">
      <c r="A920">
        <v>1919</v>
      </c>
      <c r="B920" t="s">
        <v>458</v>
      </c>
      <c r="C920" t="s">
        <v>20</v>
      </c>
      <c r="D920" t="s">
        <v>24</v>
      </c>
      <c r="E920">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1955</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9 days</v>
      </c>
    </row>
    <row r="921" spans="1:17" x14ac:dyDescent="0.3">
      <c r="A921">
        <v>1920</v>
      </c>
      <c r="B921" t="s">
        <v>1096</v>
      </c>
      <c r="C921" t="s">
        <v>15</v>
      </c>
      <c r="D921" t="s">
        <v>16</v>
      </c>
      <c r="E921">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2213</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22 days</v>
      </c>
    </row>
    <row r="923" spans="1:17" x14ac:dyDescent="0.3">
      <c r="A923">
        <v>1922</v>
      </c>
      <c r="B923" t="s">
        <v>495</v>
      </c>
      <c r="C923" t="s">
        <v>20</v>
      </c>
      <c r="D923" t="s">
        <v>11</v>
      </c>
      <c r="E923">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1499</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924" spans="1:17" x14ac:dyDescent="0.3">
      <c r="A924">
        <v>1923</v>
      </c>
      <c r="B924" t="s">
        <v>1019</v>
      </c>
      <c r="C924" t="s">
        <v>20</v>
      </c>
      <c r="D924" t="s">
        <v>11</v>
      </c>
      <c r="E924">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1564</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11 days</v>
      </c>
    </row>
    <row r="925" spans="1:17" x14ac:dyDescent="0.3">
      <c r="A925">
        <v>1924</v>
      </c>
      <c r="B925" t="s">
        <v>741</v>
      </c>
      <c r="C925" t="s">
        <v>46</v>
      </c>
      <c r="D925" t="s">
        <v>24</v>
      </c>
      <c r="E92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313</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926" spans="1:17" x14ac:dyDescent="0.3">
      <c r="A926">
        <v>1925</v>
      </c>
      <c r="B926" t="s">
        <v>1008</v>
      </c>
      <c r="C926" t="s">
        <v>33</v>
      </c>
      <c r="D926" t="s">
        <v>16</v>
      </c>
      <c r="E926">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2918</v>
      </c>
      <c r="L926" cm="1">
        <f t="array" aca="1" ref="L926" ca="1">_xlfn.IFS(EmployeeData[[#This Row],[Status]]="Exited",DATEDIF(EmployeeData[[#This Row],[Join Date]], EmployeeData[[#This Row],[Exit Date]], "Y"),EmployeeData[[#This Row],[Status]]="Active",DATEDIF(EmployeeData[[#This Row],[Join Date]], TODAY(), "Y"))</f>
        <v>7</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27 days</v>
      </c>
    </row>
    <row r="927" spans="1:17" x14ac:dyDescent="0.3">
      <c r="A927">
        <v>1926</v>
      </c>
      <c r="B927" t="s">
        <v>595</v>
      </c>
      <c r="C927" t="s">
        <v>23</v>
      </c>
      <c r="D927" t="s">
        <v>11</v>
      </c>
      <c r="E927">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2828</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29 days</v>
      </c>
    </row>
    <row r="929" spans="1:17" x14ac:dyDescent="0.3">
      <c r="A929">
        <v>1928</v>
      </c>
      <c r="B929" t="s">
        <v>757</v>
      </c>
      <c r="C929" t="s">
        <v>15</v>
      </c>
      <c r="D929" t="s">
        <v>11</v>
      </c>
      <c r="E929">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1863</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6 days</v>
      </c>
    </row>
    <row r="930" spans="1:17" x14ac:dyDescent="0.3">
      <c r="A930">
        <v>1929</v>
      </c>
      <c r="B930" t="s">
        <v>1027</v>
      </c>
      <c r="C930" t="s">
        <v>33</v>
      </c>
      <c r="D930" t="s">
        <v>11</v>
      </c>
      <c r="E930">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496</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11 days</v>
      </c>
    </row>
    <row r="932" spans="1:17" x14ac:dyDescent="0.3">
      <c r="A932">
        <v>1931</v>
      </c>
      <c r="B932" t="s">
        <v>99</v>
      </c>
      <c r="C932" t="s">
        <v>15</v>
      </c>
      <c r="D932" t="s">
        <v>11</v>
      </c>
      <c r="E932">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1532</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10 days</v>
      </c>
    </row>
    <row r="933" spans="1:17" x14ac:dyDescent="0.3">
      <c r="A933">
        <v>1932</v>
      </c>
      <c r="B933" t="s">
        <v>756</v>
      </c>
      <c r="C933" t="s">
        <v>15</v>
      </c>
      <c r="D933" t="s">
        <v>24</v>
      </c>
      <c r="E933">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965</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22 days</v>
      </c>
    </row>
    <row r="936" spans="1:17" x14ac:dyDescent="0.3">
      <c r="A936">
        <v>1935</v>
      </c>
      <c r="B936" t="s">
        <v>788</v>
      </c>
      <c r="C936" t="s">
        <v>20</v>
      </c>
      <c r="D936" t="s">
        <v>16</v>
      </c>
      <c r="E936">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3017</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942" spans="1:17" x14ac:dyDescent="0.3">
      <c r="A942">
        <v>1941</v>
      </c>
      <c r="B942" t="s">
        <v>771</v>
      </c>
      <c r="C942" t="s">
        <v>46</v>
      </c>
      <c r="D942" t="s">
        <v>24</v>
      </c>
      <c r="E942">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834</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12 days</v>
      </c>
    </row>
    <row r="943" spans="1:17" x14ac:dyDescent="0.3">
      <c r="A943">
        <v>1942</v>
      </c>
      <c r="B943" t="s">
        <v>1037</v>
      </c>
      <c r="C943" t="s">
        <v>10</v>
      </c>
      <c r="D943" t="s">
        <v>24</v>
      </c>
      <c r="E943">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1570</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17 days</v>
      </c>
    </row>
    <row r="945" spans="1:17" x14ac:dyDescent="0.3">
      <c r="A945">
        <v>1944</v>
      </c>
      <c r="B945" t="s">
        <v>779</v>
      </c>
      <c r="C945" t="s">
        <v>15</v>
      </c>
      <c r="D945" t="s">
        <v>11</v>
      </c>
      <c r="E94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1522</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0 days</v>
      </c>
    </row>
    <row r="946" spans="1:17" x14ac:dyDescent="0.3">
      <c r="A946">
        <v>1945</v>
      </c>
      <c r="B946" t="s">
        <v>752</v>
      </c>
      <c r="C946" t="s">
        <v>46</v>
      </c>
      <c r="D946" t="s">
        <v>11</v>
      </c>
      <c r="E946">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1011</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7 days</v>
      </c>
    </row>
    <row r="947" spans="1:17" x14ac:dyDescent="0.3">
      <c r="A947">
        <v>1946</v>
      </c>
      <c r="B947" t="s">
        <v>221</v>
      </c>
      <c r="C947" t="s">
        <v>46</v>
      </c>
      <c r="D947" t="s">
        <v>11</v>
      </c>
      <c r="E947">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206</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24 days</v>
      </c>
    </row>
    <row r="950" spans="1:17" x14ac:dyDescent="0.3">
      <c r="A950">
        <v>1949</v>
      </c>
      <c r="B950" t="s">
        <v>136</v>
      </c>
      <c r="C950" t="s">
        <v>33</v>
      </c>
      <c r="D950" t="s">
        <v>16</v>
      </c>
      <c r="E950">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2063</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25 days</v>
      </c>
    </row>
    <row r="951" spans="1:17" x14ac:dyDescent="0.3">
      <c r="A951">
        <v>1950</v>
      </c>
      <c r="B951" t="s">
        <v>982</v>
      </c>
      <c r="C951" t="s">
        <v>10</v>
      </c>
      <c r="D951" t="s">
        <v>16</v>
      </c>
      <c r="E951">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2335</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954" spans="1:17" x14ac:dyDescent="0.3">
      <c r="A954">
        <v>1953</v>
      </c>
      <c r="B954" t="s">
        <v>753</v>
      </c>
      <c r="C954" t="s">
        <v>10</v>
      </c>
      <c r="D954" t="s">
        <v>11</v>
      </c>
      <c r="E954">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1108</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12 days</v>
      </c>
    </row>
    <row r="958" spans="1:17" x14ac:dyDescent="0.3">
      <c r="A958">
        <v>1957</v>
      </c>
      <c r="B958" t="s">
        <v>180</v>
      </c>
      <c r="C958" t="s">
        <v>20</v>
      </c>
      <c r="D958" t="s">
        <v>24</v>
      </c>
      <c r="E958">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2117</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18 days</v>
      </c>
    </row>
    <row r="959" spans="1:17" x14ac:dyDescent="0.3">
      <c r="A959">
        <v>1958</v>
      </c>
      <c r="B959" t="s">
        <v>231</v>
      </c>
      <c r="C959" t="s">
        <v>46</v>
      </c>
      <c r="D959" t="s">
        <v>11</v>
      </c>
      <c r="E959">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3086</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13 days</v>
      </c>
    </row>
    <row r="960" spans="1:17" x14ac:dyDescent="0.3">
      <c r="A960">
        <v>1959</v>
      </c>
      <c r="B960" t="s">
        <v>109</v>
      </c>
      <c r="C960" t="s">
        <v>46</v>
      </c>
      <c r="D960" t="s">
        <v>16</v>
      </c>
      <c r="E960">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485</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0 days</v>
      </c>
    </row>
    <row r="962" spans="1:17" x14ac:dyDescent="0.3">
      <c r="A962">
        <v>1961</v>
      </c>
      <c r="B962" t="s">
        <v>941</v>
      </c>
      <c r="C962" t="s">
        <v>33</v>
      </c>
      <c r="D962" t="s">
        <v>11</v>
      </c>
      <c r="E962">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322</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963" spans="1:17" x14ac:dyDescent="0.3">
      <c r="A963">
        <v>1962</v>
      </c>
      <c r="B963" t="s">
        <v>695</v>
      </c>
      <c r="C963" t="s">
        <v>10</v>
      </c>
      <c r="D963" t="s">
        <v>11</v>
      </c>
      <c r="E963">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402</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6 days</v>
      </c>
    </row>
    <row r="964" spans="1:17" x14ac:dyDescent="0.3">
      <c r="A964">
        <v>1963</v>
      </c>
      <c r="B964" t="s">
        <v>117</v>
      </c>
      <c r="C964" t="s">
        <v>20</v>
      </c>
      <c r="D964" t="s">
        <v>11</v>
      </c>
      <c r="E964">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2625</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7 days</v>
      </c>
    </row>
    <row r="966" spans="1:17" x14ac:dyDescent="0.3">
      <c r="A966">
        <v>1965</v>
      </c>
      <c r="B966" t="s">
        <v>409</v>
      </c>
      <c r="C966" t="s">
        <v>20</v>
      </c>
      <c r="D966" t="s">
        <v>24</v>
      </c>
      <c r="E966">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2666</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17 days</v>
      </c>
    </row>
    <row r="967" spans="1:17" x14ac:dyDescent="0.3">
      <c r="A967">
        <v>1966</v>
      </c>
      <c r="B967" t="s">
        <v>135</v>
      </c>
      <c r="C967" t="s">
        <v>10</v>
      </c>
      <c r="D967" t="s">
        <v>24</v>
      </c>
      <c r="E967">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2196</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5 days</v>
      </c>
    </row>
    <row r="968" spans="1:17" x14ac:dyDescent="0.3">
      <c r="A968">
        <v>1967</v>
      </c>
      <c r="B968" t="s">
        <v>1010</v>
      </c>
      <c r="C968" t="s">
        <v>46</v>
      </c>
      <c r="D968" t="s">
        <v>24</v>
      </c>
      <c r="E968">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2728</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969" spans="1:17" x14ac:dyDescent="0.3">
      <c r="A969">
        <v>1968</v>
      </c>
      <c r="B969" t="s">
        <v>871</v>
      </c>
      <c r="C969" t="s">
        <v>20</v>
      </c>
      <c r="D969" t="s">
        <v>24</v>
      </c>
      <c r="E969">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1554</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970" spans="1:17" x14ac:dyDescent="0.3">
      <c r="A970">
        <v>1969</v>
      </c>
      <c r="B970" t="s">
        <v>578</v>
      </c>
      <c r="C970" t="s">
        <v>23</v>
      </c>
      <c r="D970" t="s">
        <v>11</v>
      </c>
      <c r="E970">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894</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12 days</v>
      </c>
    </row>
    <row r="974" spans="1:17" x14ac:dyDescent="0.3">
      <c r="A974">
        <v>1973</v>
      </c>
      <c r="B974" t="s">
        <v>441</v>
      </c>
      <c r="C974" t="s">
        <v>10</v>
      </c>
      <c r="D974" t="s">
        <v>16</v>
      </c>
      <c r="E974">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2495</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30 days</v>
      </c>
    </row>
    <row r="975" spans="1:17" x14ac:dyDescent="0.3">
      <c r="A975">
        <v>1974</v>
      </c>
      <c r="B975" t="s">
        <v>127</v>
      </c>
      <c r="C975" t="s">
        <v>33</v>
      </c>
      <c r="D975" t="s">
        <v>11</v>
      </c>
      <c r="E9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1833</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7 days</v>
      </c>
    </row>
    <row r="976" spans="1:17" x14ac:dyDescent="0.3">
      <c r="A976">
        <v>1975</v>
      </c>
      <c r="B976" t="s">
        <v>959</v>
      </c>
      <c r="C976" t="s">
        <v>20</v>
      </c>
      <c r="D976" t="s">
        <v>24</v>
      </c>
      <c r="E976">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230</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18 days</v>
      </c>
    </row>
    <row r="978" spans="1:17" x14ac:dyDescent="0.3">
      <c r="A978">
        <v>1977</v>
      </c>
      <c r="B978" t="s">
        <v>658</v>
      </c>
      <c r="C978" t="s">
        <v>10</v>
      </c>
      <c r="D978" t="s">
        <v>11</v>
      </c>
      <c r="E978">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3010</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27 days</v>
      </c>
    </row>
    <row r="979" spans="1:17" x14ac:dyDescent="0.3">
      <c r="A979">
        <v>1978</v>
      </c>
      <c r="B979" t="s">
        <v>123</v>
      </c>
      <c r="C979" t="s">
        <v>46</v>
      </c>
      <c r="D979" t="s">
        <v>11</v>
      </c>
      <c r="E979">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2804</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4 days</v>
      </c>
    </row>
    <row r="980" spans="1:17" x14ac:dyDescent="0.3">
      <c r="A980">
        <v>1979</v>
      </c>
      <c r="B980" t="s">
        <v>820</v>
      </c>
      <c r="C980" t="s">
        <v>15</v>
      </c>
      <c r="D980" t="s">
        <v>11</v>
      </c>
      <c r="E980">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1906</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19 days</v>
      </c>
    </row>
    <row r="982" spans="1:17" x14ac:dyDescent="0.3">
      <c r="A982">
        <v>1981</v>
      </c>
      <c r="B982" t="s">
        <v>531</v>
      </c>
      <c r="C982" t="s">
        <v>15</v>
      </c>
      <c r="D982" t="s">
        <v>24</v>
      </c>
      <c r="E982">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2363</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20 days</v>
      </c>
    </row>
    <row r="984" spans="1:17" x14ac:dyDescent="0.3">
      <c r="A984">
        <v>1983</v>
      </c>
      <c r="B984" t="s">
        <v>646</v>
      </c>
      <c r="C984" t="s">
        <v>23</v>
      </c>
      <c r="D984" t="s">
        <v>11</v>
      </c>
      <c r="E984">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1199</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986" spans="1:17" x14ac:dyDescent="0.3">
      <c r="A986">
        <v>1985</v>
      </c>
      <c r="B986" t="s">
        <v>823</v>
      </c>
      <c r="C986" t="s">
        <v>10</v>
      </c>
      <c r="D986" t="s">
        <v>16</v>
      </c>
      <c r="E986">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458</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 days</v>
      </c>
    </row>
    <row r="988" spans="1:17" x14ac:dyDescent="0.3">
      <c r="A988">
        <v>1987</v>
      </c>
      <c r="B988" t="s">
        <v>108</v>
      </c>
      <c r="C988" t="s">
        <v>15</v>
      </c>
      <c r="D988" t="s">
        <v>11</v>
      </c>
      <c r="E988">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2341</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29 days</v>
      </c>
    </row>
    <row r="989" spans="1:17" x14ac:dyDescent="0.3">
      <c r="A989">
        <v>1988</v>
      </c>
      <c r="B989" t="s">
        <v>189</v>
      </c>
      <c r="C989" t="s">
        <v>15</v>
      </c>
      <c r="D989" t="s">
        <v>11</v>
      </c>
      <c r="E989">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1609</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28 days</v>
      </c>
    </row>
    <row r="992" spans="1:17" x14ac:dyDescent="0.3">
      <c r="A992">
        <v>1991</v>
      </c>
      <c r="B992" t="s">
        <v>940</v>
      </c>
      <c r="C992" t="s">
        <v>20</v>
      </c>
      <c r="D992" t="s">
        <v>16</v>
      </c>
      <c r="E992">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971</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3" spans="1:17" x14ac:dyDescent="0.3">
      <c r="A993">
        <v>1992</v>
      </c>
      <c r="B993" t="s">
        <v>870</v>
      </c>
      <c r="C993" t="s">
        <v>23</v>
      </c>
      <c r="D993" t="s">
        <v>11</v>
      </c>
      <c r="E993">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1656</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994" spans="1:17" x14ac:dyDescent="0.3">
      <c r="A994">
        <v>1993</v>
      </c>
      <c r="B994" t="s">
        <v>722</v>
      </c>
      <c r="C994" t="s">
        <v>20</v>
      </c>
      <c r="D994" t="s">
        <v>16</v>
      </c>
      <c r="E994">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1732</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29 days</v>
      </c>
    </row>
    <row r="999" spans="1:17" x14ac:dyDescent="0.3">
      <c r="A999">
        <v>1998</v>
      </c>
      <c r="B999" t="s">
        <v>432</v>
      </c>
      <c r="C999" t="s">
        <v>10</v>
      </c>
      <c r="D999" t="s">
        <v>11</v>
      </c>
      <c r="E999">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2668</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19 days</v>
      </c>
    </row>
    <row r="1000" spans="1:17" x14ac:dyDescent="0.3">
      <c r="A1000">
        <v>1999</v>
      </c>
      <c r="B1000" t="s">
        <v>808</v>
      </c>
      <c r="C1000" t="s">
        <v>23</v>
      </c>
      <c r="D1000" t="s">
        <v>11</v>
      </c>
      <c r="E1000">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2349</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6 days</v>
      </c>
    </row>
    <row r="1004" spans="1:17" x14ac:dyDescent="0.3">
      <c r="A1004">
        <v>2003</v>
      </c>
      <c r="B1004" t="s">
        <v>311</v>
      </c>
      <c r="C1004" t="s">
        <v>46</v>
      </c>
      <c r="D1004" t="s">
        <v>24</v>
      </c>
      <c r="E1004">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1848</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22 days</v>
      </c>
    </row>
    <row r="1005" spans="1:17" x14ac:dyDescent="0.3">
      <c r="A1005">
        <v>2004</v>
      </c>
      <c r="B1005" t="s">
        <v>66</v>
      </c>
      <c r="C1005" t="s">
        <v>33</v>
      </c>
      <c r="D1005" t="s">
        <v>24</v>
      </c>
      <c r="E100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2115</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16 days</v>
      </c>
    </row>
    <row r="1006" spans="1:17" x14ac:dyDescent="0.3">
      <c r="A1006">
        <v>2005</v>
      </c>
      <c r="B1006" t="s">
        <v>505</v>
      </c>
      <c r="C1006" t="s">
        <v>23</v>
      </c>
      <c r="D1006" t="s">
        <v>24</v>
      </c>
      <c r="E1006">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1362</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23 days</v>
      </c>
    </row>
    <row r="1007" spans="1:17" x14ac:dyDescent="0.3">
      <c r="A1007">
        <v>2006</v>
      </c>
      <c r="B1007" t="s">
        <v>968</v>
      </c>
      <c r="C1007" t="s">
        <v>10</v>
      </c>
      <c r="D1007" t="s">
        <v>24</v>
      </c>
      <c r="E1007">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1358</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1008" spans="1:17" x14ac:dyDescent="0.3">
      <c r="A1008">
        <v>2007</v>
      </c>
      <c r="B1008" t="s">
        <v>904</v>
      </c>
      <c r="C1008" t="s">
        <v>20</v>
      </c>
      <c r="D1008" t="s">
        <v>11</v>
      </c>
      <c r="E1008">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297</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24 days</v>
      </c>
    </row>
    <row r="1009" spans="1:17" x14ac:dyDescent="0.3">
      <c r="A1009">
        <v>2008</v>
      </c>
      <c r="B1009" t="s">
        <v>271</v>
      </c>
      <c r="C1009" t="s">
        <v>20</v>
      </c>
      <c r="D1009" t="s">
        <v>11</v>
      </c>
      <c r="E1009">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2172</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11 days</v>
      </c>
    </row>
    <row r="1015" spans="1:17" x14ac:dyDescent="0.3">
      <c r="A1015">
        <v>2014</v>
      </c>
      <c r="B1015" t="s">
        <v>118</v>
      </c>
      <c r="C1015" t="s">
        <v>23</v>
      </c>
      <c r="D1015" t="s">
        <v>16</v>
      </c>
      <c r="E101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410</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1016" spans="1:17" x14ac:dyDescent="0.3">
      <c r="A1016">
        <v>2015</v>
      </c>
      <c r="B1016" t="s">
        <v>515</v>
      </c>
      <c r="C1016" t="s">
        <v>15</v>
      </c>
      <c r="D1016" t="s">
        <v>11</v>
      </c>
      <c r="E1016">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374</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9 days</v>
      </c>
    </row>
    <row r="1018" spans="1:17" x14ac:dyDescent="0.3">
      <c r="A1018">
        <v>2017</v>
      </c>
      <c r="B1018" t="s">
        <v>477</v>
      </c>
      <c r="C1018" t="s">
        <v>33</v>
      </c>
      <c r="D1018" t="s">
        <v>11</v>
      </c>
      <c r="E1018">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1461</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0 days</v>
      </c>
    </row>
    <row r="1019" spans="1:17" x14ac:dyDescent="0.3">
      <c r="A1019">
        <v>2018</v>
      </c>
      <c r="B1019" t="s">
        <v>349</v>
      </c>
      <c r="C1019" t="s">
        <v>33</v>
      </c>
      <c r="D1019" t="s">
        <v>16</v>
      </c>
      <c r="E1019">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2760</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21 days</v>
      </c>
    </row>
    <row r="1021" spans="1:17" x14ac:dyDescent="0.3">
      <c r="A1021">
        <v>2020</v>
      </c>
      <c r="B1021" t="s">
        <v>902</v>
      </c>
      <c r="C1021" t="s">
        <v>10</v>
      </c>
      <c r="D1021" t="s">
        <v>11</v>
      </c>
      <c r="E1021">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2326</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14 days</v>
      </c>
    </row>
    <row r="1023" spans="1:17" x14ac:dyDescent="0.3">
      <c r="A1023">
        <v>2022</v>
      </c>
      <c r="B1023" t="s">
        <v>858</v>
      </c>
      <c r="C1023" t="s">
        <v>15</v>
      </c>
      <c r="D1023" t="s">
        <v>16</v>
      </c>
      <c r="E1023">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1977</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0 days</v>
      </c>
    </row>
    <row r="1024" spans="1:17" x14ac:dyDescent="0.3">
      <c r="A1024">
        <v>2023</v>
      </c>
      <c r="B1024" t="s">
        <v>907</v>
      </c>
      <c r="C1024" t="s">
        <v>15</v>
      </c>
      <c r="D1024" t="s">
        <v>16</v>
      </c>
      <c r="E1024">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2123</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24 days</v>
      </c>
    </row>
    <row r="1029" spans="1:17" x14ac:dyDescent="0.3">
      <c r="A1029">
        <v>2028</v>
      </c>
      <c r="B1029" t="s">
        <v>544</v>
      </c>
      <c r="C1029" t="s">
        <v>15</v>
      </c>
      <c r="D1029" t="s">
        <v>11</v>
      </c>
      <c r="E1029">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2930</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1030" spans="1:17" x14ac:dyDescent="0.3">
      <c r="A1030">
        <v>2029</v>
      </c>
      <c r="B1030" t="s">
        <v>540</v>
      </c>
      <c r="C1030" t="s">
        <v>46</v>
      </c>
      <c r="D1030" t="s">
        <v>16</v>
      </c>
      <c r="E1030">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2064</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26 days</v>
      </c>
    </row>
    <row r="1032" spans="1:17" x14ac:dyDescent="0.3">
      <c r="A1032">
        <v>2031</v>
      </c>
      <c r="B1032" t="s">
        <v>194</v>
      </c>
      <c r="C1032" t="s">
        <v>10</v>
      </c>
      <c r="D1032" t="s">
        <v>11</v>
      </c>
      <c r="E1032">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2821</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21 days</v>
      </c>
    </row>
    <row r="1033" spans="1:17" x14ac:dyDescent="0.3">
      <c r="A1033">
        <v>2032</v>
      </c>
      <c r="B1033" t="s">
        <v>68</v>
      </c>
      <c r="C1033" t="s">
        <v>15</v>
      </c>
      <c r="D1033" t="s">
        <v>16</v>
      </c>
      <c r="E1033">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2206</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15 days</v>
      </c>
    </row>
    <row r="1036" spans="1:17" x14ac:dyDescent="0.3">
      <c r="A1036">
        <v>2035</v>
      </c>
      <c r="B1036" t="s">
        <v>774</v>
      </c>
      <c r="C1036" t="s">
        <v>10</v>
      </c>
      <c r="D1036" t="s">
        <v>16</v>
      </c>
      <c r="E1036">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1991</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14 days</v>
      </c>
    </row>
    <row r="1038" spans="1:17" x14ac:dyDescent="0.3">
      <c r="A1038">
        <v>2037</v>
      </c>
      <c r="B1038" t="s">
        <v>876</v>
      </c>
      <c r="C1038" t="s">
        <v>46</v>
      </c>
      <c r="D1038" t="s">
        <v>16</v>
      </c>
      <c r="E1038">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3093</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20 days</v>
      </c>
    </row>
    <row r="1039" spans="1:17" x14ac:dyDescent="0.3">
      <c r="A1039">
        <v>2038</v>
      </c>
      <c r="B1039" t="s">
        <v>92</v>
      </c>
      <c r="C1039" t="s">
        <v>20</v>
      </c>
      <c r="D1039" t="s">
        <v>24</v>
      </c>
      <c r="E1039">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1769</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4 days</v>
      </c>
    </row>
    <row r="1040" spans="1:17" x14ac:dyDescent="0.3">
      <c r="A1040">
        <v>2039</v>
      </c>
      <c r="B1040" t="s">
        <v>29</v>
      </c>
      <c r="C1040" t="s">
        <v>15</v>
      </c>
      <c r="D1040" t="s">
        <v>11</v>
      </c>
      <c r="E1040">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406</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1041" spans="1:17" x14ac:dyDescent="0.3">
      <c r="A1041">
        <v>2040</v>
      </c>
      <c r="B1041" t="s">
        <v>686</v>
      </c>
      <c r="C1041" t="s">
        <v>20</v>
      </c>
      <c r="D1041" t="s">
        <v>11</v>
      </c>
      <c r="E1041">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533</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17 days</v>
      </c>
    </row>
    <row r="1042" spans="1:17" x14ac:dyDescent="0.3">
      <c r="A1042">
        <v>2041</v>
      </c>
      <c r="B1042" t="s">
        <v>708</v>
      </c>
      <c r="C1042" t="s">
        <v>15</v>
      </c>
      <c r="D1042" t="s">
        <v>16</v>
      </c>
      <c r="E1042">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519</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3 days</v>
      </c>
    </row>
    <row r="1043" spans="1:17" x14ac:dyDescent="0.3">
      <c r="A1043">
        <v>2042</v>
      </c>
      <c r="B1043" t="s">
        <v>508</v>
      </c>
      <c r="C1043" t="s">
        <v>10</v>
      </c>
      <c r="D1043" t="s">
        <v>11</v>
      </c>
      <c r="E1043">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2371</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28 days</v>
      </c>
    </row>
    <row r="1045" spans="1:17" x14ac:dyDescent="0.3">
      <c r="A1045">
        <v>2044</v>
      </c>
      <c r="B1045" t="s">
        <v>412</v>
      </c>
      <c r="C1045" t="s">
        <v>10</v>
      </c>
      <c r="D1045" t="s">
        <v>11</v>
      </c>
      <c r="E104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2688</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11 days</v>
      </c>
    </row>
    <row r="1046" spans="1:17" x14ac:dyDescent="0.3">
      <c r="A1046">
        <v>2045</v>
      </c>
      <c r="B1046" t="s">
        <v>1088</v>
      </c>
      <c r="C1046" t="s">
        <v>15</v>
      </c>
      <c r="D1046" t="s">
        <v>16</v>
      </c>
      <c r="E1046">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3060</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18 days</v>
      </c>
    </row>
    <row r="1048" spans="1:17" x14ac:dyDescent="0.3">
      <c r="A1048">
        <v>2047</v>
      </c>
      <c r="B1048" t="s">
        <v>487</v>
      </c>
      <c r="C1048" t="s">
        <v>10</v>
      </c>
      <c r="D1048" t="s">
        <v>11</v>
      </c>
      <c r="E1048">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2528</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 days</v>
      </c>
    </row>
    <row r="1049" spans="1:17" x14ac:dyDescent="0.3">
      <c r="A1049">
        <v>2048</v>
      </c>
      <c r="B1049" t="s">
        <v>1001</v>
      </c>
      <c r="C1049" t="s">
        <v>10</v>
      </c>
      <c r="D1049" t="s">
        <v>24</v>
      </c>
      <c r="E1049">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2870</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9 days</v>
      </c>
    </row>
    <row r="1050" spans="1:17" x14ac:dyDescent="0.3">
      <c r="A1050">
        <v>2049</v>
      </c>
      <c r="B1050" t="s">
        <v>478</v>
      </c>
      <c r="C1050" t="s">
        <v>33</v>
      </c>
      <c r="D1050" t="s">
        <v>16</v>
      </c>
      <c r="E1050">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2678</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 days</v>
      </c>
    </row>
    <row r="1051" spans="1:17" x14ac:dyDescent="0.3">
      <c r="A1051">
        <v>2050</v>
      </c>
      <c r="B1051" t="s">
        <v>816</v>
      </c>
      <c r="C1051" t="s">
        <v>15</v>
      </c>
      <c r="D1051" t="s">
        <v>24</v>
      </c>
      <c r="E1051">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1651</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8 days</v>
      </c>
    </row>
    <row r="1052" spans="1:17" x14ac:dyDescent="0.3">
      <c r="A1052">
        <v>2051</v>
      </c>
      <c r="B1052" t="s">
        <v>402</v>
      </c>
      <c r="C1052" t="s">
        <v>23</v>
      </c>
      <c r="D1052" t="s">
        <v>11</v>
      </c>
      <c r="E1052">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2682</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5 days</v>
      </c>
    </row>
    <row r="1053" spans="1:17" x14ac:dyDescent="0.3">
      <c r="A1053">
        <v>2052</v>
      </c>
      <c r="B1053" t="s">
        <v>449</v>
      </c>
      <c r="C1053" t="s">
        <v>15</v>
      </c>
      <c r="D1053" t="s">
        <v>11</v>
      </c>
      <c r="E1053">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2921</v>
      </c>
      <c r="L1053" cm="1">
        <f t="array" aca="1" ref="L1053" ca="1">_xlfn.IFS(EmployeeData[[#This Row],[Status]]="Exited",DATEDIF(EmployeeData[[#This Row],[Join Date]], EmployeeData[[#This Row],[Exit Date]], "Y"),EmployeeData[[#This Row],[Status]]="Active",DATEDIF(EmployeeData[[#This Row],[Join Date]], TODAY(), "Y"))</f>
        <v>7</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30 days</v>
      </c>
    </row>
    <row r="1054" spans="1:17" x14ac:dyDescent="0.3">
      <c r="A1054">
        <v>2053</v>
      </c>
      <c r="B1054" t="s">
        <v>874</v>
      </c>
      <c r="C1054" t="s">
        <v>20</v>
      </c>
      <c r="D1054" t="s">
        <v>16</v>
      </c>
      <c r="E1054">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539</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23 days</v>
      </c>
    </row>
    <row r="1055" spans="1:17" x14ac:dyDescent="0.3">
      <c r="A1055">
        <v>2054</v>
      </c>
      <c r="B1055" t="s">
        <v>408</v>
      </c>
      <c r="C1055" t="s">
        <v>20</v>
      </c>
      <c r="D1055" t="s">
        <v>11</v>
      </c>
      <c r="E105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3090</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17 days</v>
      </c>
    </row>
    <row r="1056" spans="1:17" x14ac:dyDescent="0.3">
      <c r="A1056">
        <v>2055</v>
      </c>
      <c r="B1056" t="s">
        <v>210</v>
      </c>
      <c r="C1056" t="s">
        <v>10</v>
      </c>
      <c r="D1056" t="s">
        <v>11</v>
      </c>
      <c r="E1056">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1074</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8 days</v>
      </c>
    </row>
    <row r="1058" spans="1:17" x14ac:dyDescent="0.3">
      <c r="A1058">
        <v>2057</v>
      </c>
      <c r="B1058" t="s">
        <v>804</v>
      </c>
      <c r="C1058" t="s">
        <v>10</v>
      </c>
      <c r="D1058" t="s">
        <v>11</v>
      </c>
      <c r="E1058">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1529</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1059" spans="1:17" x14ac:dyDescent="0.3">
      <c r="A1059">
        <v>2058</v>
      </c>
      <c r="B1059" t="s">
        <v>833</v>
      </c>
      <c r="C1059" t="s">
        <v>10</v>
      </c>
      <c r="D1059" t="s">
        <v>24</v>
      </c>
      <c r="E1059">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940</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28 days</v>
      </c>
    </row>
    <row r="1060" spans="1:17" x14ac:dyDescent="0.3">
      <c r="A1060">
        <v>2059</v>
      </c>
      <c r="B1060" t="s">
        <v>989</v>
      </c>
      <c r="C1060" t="s">
        <v>15</v>
      </c>
      <c r="D1060" t="s">
        <v>11</v>
      </c>
      <c r="E1060">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1614</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1061" spans="1:17" x14ac:dyDescent="0.3">
      <c r="A1061">
        <v>2060</v>
      </c>
      <c r="B1061" t="s">
        <v>1097</v>
      </c>
      <c r="C1061" t="s">
        <v>10</v>
      </c>
      <c r="D1061" t="s">
        <v>11</v>
      </c>
      <c r="E1061">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1891</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4 days</v>
      </c>
    </row>
    <row r="1062" spans="1:17" x14ac:dyDescent="0.3">
      <c r="A1062">
        <v>2061</v>
      </c>
      <c r="B1062" t="s">
        <v>843</v>
      </c>
      <c r="C1062" t="s">
        <v>15</v>
      </c>
      <c r="D1062" t="s">
        <v>16</v>
      </c>
      <c r="E1062">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1552</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30 days</v>
      </c>
    </row>
    <row r="1063" spans="1:17" x14ac:dyDescent="0.3">
      <c r="A1063">
        <v>2062</v>
      </c>
      <c r="B1063" t="s">
        <v>1034</v>
      </c>
      <c r="C1063" t="s">
        <v>20</v>
      </c>
      <c r="D1063" t="s">
        <v>16</v>
      </c>
      <c r="E1063">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938</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065" spans="1:17" x14ac:dyDescent="0.3">
      <c r="A1065">
        <v>2064</v>
      </c>
      <c r="B1065" t="s">
        <v>847</v>
      </c>
      <c r="C1065" t="s">
        <v>10</v>
      </c>
      <c r="D1065" t="s">
        <v>24</v>
      </c>
      <c r="E106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314</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10 days</v>
      </c>
    </row>
    <row r="1067" spans="1:17" x14ac:dyDescent="0.3">
      <c r="A1067">
        <v>2066</v>
      </c>
      <c r="B1067" t="s">
        <v>912</v>
      </c>
      <c r="C1067" t="s">
        <v>10</v>
      </c>
      <c r="D1067" t="s">
        <v>24</v>
      </c>
      <c r="E1067">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2167</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6 days</v>
      </c>
    </row>
    <row r="1068" spans="1:17" x14ac:dyDescent="0.3">
      <c r="A1068">
        <v>2067</v>
      </c>
      <c r="B1068" t="s">
        <v>553</v>
      </c>
      <c r="C1068" t="s">
        <v>23</v>
      </c>
      <c r="D1068" t="s">
        <v>11</v>
      </c>
      <c r="E1068">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2231</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9 days</v>
      </c>
    </row>
    <row r="1069" spans="1:17" x14ac:dyDescent="0.3">
      <c r="A1069">
        <v>2068</v>
      </c>
      <c r="B1069" t="s">
        <v>801</v>
      </c>
      <c r="C1069" t="s">
        <v>33</v>
      </c>
      <c r="D1069" t="s">
        <v>24</v>
      </c>
      <c r="E1069">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425</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30 days</v>
      </c>
    </row>
    <row r="1070" spans="1:17" x14ac:dyDescent="0.3">
      <c r="A1070">
        <v>2069</v>
      </c>
      <c r="B1070" t="s">
        <v>444</v>
      </c>
      <c r="C1070" t="s">
        <v>20</v>
      </c>
      <c r="D1070" t="s">
        <v>16</v>
      </c>
      <c r="E1070">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2330</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18 days</v>
      </c>
    </row>
    <row r="1072" spans="1:17" x14ac:dyDescent="0.3">
      <c r="A1072">
        <v>2071</v>
      </c>
      <c r="B1072" t="s">
        <v>455</v>
      </c>
      <c r="C1072" t="s">
        <v>23</v>
      </c>
      <c r="D1072" t="s">
        <v>11</v>
      </c>
      <c r="E1072">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1641</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1074" spans="1:17" x14ac:dyDescent="0.3">
      <c r="A1074">
        <v>2073</v>
      </c>
      <c r="B1074" t="s">
        <v>53</v>
      </c>
      <c r="C1074" t="s">
        <v>23</v>
      </c>
      <c r="D1074" t="s">
        <v>11</v>
      </c>
      <c r="E1074">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693</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24 days</v>
      </c>
    </row>
    <row r="1075" spans="1:17" x14ac:dyDescent="0.3">
      <c r="A1075">
        <v>2074</v>
      </c>
      <c r="B1075" t="s">
        <v>881</v>
      </c>
      <c r="C1075" t="s">
        <v>15</v>
      </c>
      <c r="D1075" t="s">
        <v>16</v>
      </c>
      <c r="E10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2776</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7 days</v>
      </c>
    </row>
    <row r="1076" spans="1:17" x14ac:dyDescent="0.3">
      <c r="A1076">
        <v>2075</v>
      </c>
      <c r="B1076" t="s">
        <v>272</v>
      </c>
      <c r="C1076" t="s">
        <v>33</v>
      </c>
      <c r="D1076" t="s">
        <v>24</v>
      </c>
      <c r="E1076">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1044</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9 days</v>
      </c>
    </row>
    <row r="1077" spans="1:17" x14ac:dyDescent="0.3">
      <c r="A1077">
        <v>2076</v>
      </c>
      <c r="B1077" t="s">
        <v>759</v>
      </c>
      <c r="C1077" t="s">
        <v>20</v>
      </c>
      <c r="D1077" t="s">
        <v>16</v>
      </c>
      <c r="E1077">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1623</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11 days</v>
      </c>
    </row>
    <row r="1078" spans="1:17" x14ac:dyDescent="0.3">
      <c r="A1078">
        <v>2077</v>
      </c>
      <c r="B1078" t="s">
        <v>89</v>
      </c>
      <c r="C1078" t="s">
        <v>20</v>
      </c>
      <c r="D1078" t="s">
        <v>24</v>
      </c>
      <c r="E1078">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598</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1079" spans="1:17" x14ac:dyDescent="0.3">
      <c r="A1079">
        <v>2078</v>
      </c>
      <c r="B1079" t="s">
        <v>1026</v>
      </c>
      <c r="C1079" t="s">
        <v>23</v>
      </c>
      <c r="D1079" t="s">
        <v>11</v>
      </c>
      <c r="E1079">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1831</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5 days</v>
      </c>
    </row>
    <row r="1080" spans="1:17" x14ac:dyDescent="0.3">
      <c r="A1080">
        <v>2079</v>
      </c>
      <c r="B1080" t="s">
        <v>215</v>
      </c>
      <c r="C1080" t="s">
        <v>15</v>
      </c>
      <c r="D1080" t="s">
        <v>16</v>
      </c>
      <c r="E1080">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1951</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5 days</v>
      </c>
    </row>
    <row r="1081" spans="1:17" x14ac:dyDescent="0.3">
      <c r="A1081">
        <v>2080</v>
      </c>
      <c r="B1081" t="s">
        <v>356</v>
      </c>
      <c r="C1081" t="s">
        <v>10</v>
      </c>
      <c r="D1081" t="s">
        <v>24</v>
      </c>
      <c r="E1081">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1288</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10 days</v>
      </c>
    </row>
    <row r="1082" spans="1:17" x14ac:dyDescent="0.3">
      <c r="A1082">
        <v>2081</v>
      </c>
      <c r="B1082" t="s">
        <v>1106</v>
      </c>
      <c r="C1082" t="s">
        <v>23</v>
      </c>
      <c r="D1082" t="s">
        <v>24</v>
      </c>
      <c r="E1082">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1226</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10 days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71</v>
      </c>
      <c r="N11">
        <f t="shared" si="0"/>
        <v>712</v>
      </c>
      <c r="O11">
        <f t="shared" si="2"/>
        <v>688</v>
      </c>
      <c r="P11" s="65">
        <f t="shared" si="3"/>
        <v>7.2289156626506021E-2</v>
      </c>
      <c r="Q11" s="65">
        <f t="shared" si="1"/>
        <v>0.10319767441860465</v>
      </c>
      <c r="R11" s="68">
        <f t="shared" si="4"/>
        <v>8.5705693664795551E-3</v>
      </c>
    </row>
    <row r="12" spans="2:18" x14ac:dyDescent="0.3">
      <c r="B12" t="s">
        <v>1184</v>
      </c>
      <c r="I12">
        <v>2025</v>
      </c>
      <c r="J12" s="34">
        <v>45658</v>
      </c>
      <c r="K12" s="34">
        <v>46022</v>
      </c>
      <c r="L12">
        <f>N11 + COUNTIFS(EmployeeData[Join Date], "&gt;="&amp;J12, EmployeeData[Join Date], "&lt;="&amp;K12)</f>
        <v>841</v>
      </c>
      <c r="M12">
        <f>COUNTIFS(EmployeeData[Exit Date], "&gt;="&amp;J12, EmployeeData[Exit Date], "&lt;="&amp;K12)</f>
        <v>116</v>
      </c>
      <c r="N12">
        <f t="shared" si="0"/>
        <v>725</v>
      </c>
      <c r="O12">
        <f t="shared" si="2"/>
        <v>718.5</v>
      </c>
      <c r="P12" s="65">
        <f t="shared" si="3"/>
        <v>1.8258426966292134E-2</v>
      </c>
      <c r="Q12" s="65">
        <f t="shared" si="1"/>
        <v>0.16144745998608212</v>
      </c>
      <c r="R12" s="68">
        <f t="shared" si="4"/>
        <v>5.8249785567477466E-2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-7.8114126652748792E-2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2026-06-26T09:20:10Z</dcterms:modified>
</cp:coreProperties>
</file>