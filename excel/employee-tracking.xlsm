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915776F8-D40D-4B86-A32D-E808CA597829}"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1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E17" i="5"/>
  <c r="AF9" i="1"/>
  <c r="C15" i="5"/>
  <c r="C9" i="5"/>
  <c r="E19" i="5"/>
  <c r="E15" i="5"/>
  <c r="C17" i="5"/>
  <c r="B4" i="5"/>
  <c r="C15" i="1"/>
  <c r="C10" i="5"/>
  <c r="E16" i="5"/>
  <c r="C16" i="5"/>
  <c r="AF10" i="1"/>
  <c r="C18" i="5"/>
  <c r="E18"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7" i="1" l="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<sst xmlns="http://schemas.openxmlformats.org/spreadsheetml/2006/main" count="5661" uniqueCount="1199">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</sst>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6">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2" xfId="0" applyNumberFormat="1" applyBorder="1"/>
    <xf numFmtId="0" fontId="0" fillId="0" borderId="7" xfId="0" applyNumberFormat="1" applyBorder="1"/>
    <xf numFmtId="0" fontId="1" fillId="0" borderId="1" xfId="0" applyNumberFormat="1" applyFont="1" applyBorder="1"/>
    <xf numFmtId="0" fontId="0" fillId="0" borderId="3" xfId="0" applyNumberFormat="1" applyBorder="1"/>
    <xf numFmtId="0" fontId="0" fillId="0" borderId="4" xfId="0" applyNumberFormat="1" applyBorder="1"/>
    <xf numFmtId="0" fontId="0" fillId="0" borderId="5" xfId="0" applyNumberFormat="1" applyBorder="1"/>
    <xf numFmtId="0" fontId="0" fillId="0" borderId="6" xfId="0" applyNumberFormat="1" applyBorder="1"/>
    <xf numFmtId="0" fontId="0" fillId="0" borderId="8" xfId="0" applyNumberFormat="1" applyBorder="1"/>
    <xf numFmtId="0" fontId="0" fillId="0" borderId="12" xfId="0" applyNumberFormat="1" applyBorder="1"/>
    <xf numFmtId="0" fontId="0" fillId="0" borderId="9" xfId="0" applyNumberFormat="1" applyBorder="1"/>
  </cellXfs>
  <cellStyles count="1">
    <cellStyle name="Normal" xfId="0" builtinId="0"/>
  </cellStyles>
  <dxfs count="270">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top"/>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269"/>
    </tableStyle>
  </tableStyles>
  <colors>
    <mruColors>
      <color rgb="FFFFFFFF"/>
      <color rgb="FF76549A"/>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40</c:v>
                </c:pt>
                <c:pt idx="1">
                  <c:v>78</c:v>
                </c:pt>
                <c:pt idx="2">
                  <c:v>80</c:v>
                </c:pt>
                <c:pt idx="3">
                  <c:v>81</c:v>
                </c:pt>
                <c:pt idx="4">
                  <c:v>79</c:v>
                </c:pt>
                <c:pt idx="5">
                  <c:v>85</c:v>
                </c:pt>
                <c:pt idx="6">
                  <c:v>97</c:v>
                </c:pt>
                <c:pt idx="7">
                  <c:v>88</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image" Target="../media/image27.pn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7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777225</xdr:colOff>
      <xdr:row>0</xdr:row>
      <xdr:rowOff>99060</xdr:rowOff>
    </xdr:from>
    <xdr:to>
      <xdr:col>8</xdr:col>
      <xdr:colOff>1195373</xdr:colOff>
      <xdr:row>2</xdr:row>
      <xdr:rowOff>129540</xdr:rowOff>
    </xdr:to>
    <xdr:grpSp>
      <xdr:nvGrpSpPr>
        <xdr:cNvPr id="80" name="Refresh Button">
          <a:extLst>
            <a:ext uri="{FF2B5EF4-FFF2-40B4-BE49-F238E27FC236}">
              <a16:creationId xmlns:a16="http://schemas.microsoft.com/office/drawing/2014/main" id="{CC9D89E7-F5EE-CD62-5F14-35F09B06FE6F}"/>
            </a:ext>
          </a:extLst>
        </xdr:cNvPr>
        <xdr:cNvGrpSpPr/>
      </xdr:nvGrpSpPr>
      <xdr:grpSpPr>
        <a:xfrm>
          <a:off x="11955765" y="99060"/>
          <a:ext cx="418148" cy="396240"/>
          <a:chOff x="12478702" y="99060"/>
          <a:chExt cx="418148" cy="39243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78702" y="99060"/>
            <a:ext cx="418148" cy="392430"/>
          </a:xfrm>
          <a:prstGeom prst="roundRect">
            <a:avLst>
              <a:gd name="adj" fmla="val 30582"/>
            </a:avLst>
          </a:prstGeom>
          <a:solidFill>
            <a:srgbClr val="FFFFFF"/>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28675" y="132537"/>
            <a:ext cx="315804" cy="320688"/>
          </a:xfrm>
          <a:prstGeom prst="rect">
            <a:avLst/>
          </a:prstGeom>
        </xdr:spPr>
      </xdr:pic>
    </xdr:grpSp>
    <xdr:clientData/>
  </xdr:twoCellAnchor>
  <xdr:twoCellAnchor>
    <xdr:from>
      <xdr:col>8</xdr:col>
      <xdr:colOff>243859</xdr:colOff>
      <xdr:row>0</xdr:row>
      <xdr:rowOff>99849</xdr:rowOff>
    </xdr:from>
    <xdr:to>
      <xdr:col>8</xdr:col>
      <xdr:colOff>662171</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422399"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54897" y="203676"/>
            <a:ext cx="200934" cy="185135"/>
            <a:chOff x="16999550" y="713467"/>
            <a:chExt cx="636734" cy="728276"/>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999550" y="713467"/>
              <a:ext cx="636734" cy="645697"/>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flipV="1">
              <a:off x="17027794" y="1370781"/>
              <a:ext cx="579530" cy="70962"/>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7</xdr:col>
      <xdr:colOff>1290609</xdr:colOff>
      <xdr:row>0</xdr:row>
      <xdr:rowOff>100013</xdr:rowOff>
    </xdr:from>
    <xdr:to>
      <xdr:col>8</xdr:col>
      <xdr:colOff>133322</xdr:colOff>
      <xdr:row>2</xdr:row>
      <xdr:rowOff>130493</xdr:rowOff>
    </xdr:to>
    <xdr:grpSp>
      <xdr:nvGrpSpPr>
        <xdr:cNvPr id="76" name="Add Button">
          <a:extLst>
            <a:ext uri="{FF2B5EF4-FFF2-40B4-BE49-F238E27FC236}">
              <a16:creationId xmlns:a16="http://schemas.microsoft.com/office/drawing/2014/main" id="{D0750D66-9CEB-4D19-FA43-558C5C90D4CA}"/>
            </a:ext>
          </a:extLst>
        </xdr:cNvPr>
        <xdr:cNvGrpSpPr/>
      </xdr:nvGrpSpPr>
      <xdr:grpSpPr>
        <a:xfrm>
          <a:off x="10891809" y="100013"/>
          <a:ext cx="420053" cy="396240"/>
          <a:chOff x="15063788" y="1628775"/>
          <a:chExt cx="419100" cy="392430"/>
        </a:xfrm>
      </xdr:grpSpPr>
      <xdr:sp macro="[0]!OpenAddEmployeeForm" textlink="">
        <xdr:nvSpPr>
          <xdr:cNvPr id="74" name="Add Box">
            <a:extLst>
              <a:ext uri="{FF2B5EF4-FFF2-40B4-BE49-F238E27FC236}">
                <a16:creationId xmlns:a16="http://schemas.microsoft.com/office/drawing/2014/main" id="{9535E99E-0B1D-4381-B183-3D0A430B48A1}"/>
              </a:ext>
            </a:extLst>
          </xdr:cNvPr>
          <xdr:cNvSpPr/>
        </xdr:nvSpPr>
        <xdr:spPr>
          <a:xfrm>
            <a:off x="15063788" y="1628775"/>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3" name="AddIcon">
            <a:extLst>
              <a:ext uri="{FF2B5EF4-FFF2-40B4-BE49-F238E27FC236}">
                <a16:creationId xmlns:a16="http://schemas.microsoft.com/office/drawing/2014/main" id="{CB312A68-6207-9F9F-3075-E5B72ED4BA09}"/>
              </a:ext>
            </a:extLst>
          </xdr:cNvPr>
          <xdr:cNvGrpSpPr>
            <a:grpSpLocks noChangeAspect="1"/>
          </xdr:cNvGrpSpPr>
        </xdr:nvGrpSpPr>
        <xdr:grpSpPr>
          <a:xfrm>
            <a:off x="15165299" y="1717165"/>
            <a:ext cx="227883" cy="216981"/>
            <a:chOff x="15616819" y="583529"/>
            <a:chExt cx="820297" cy="789414"/>
          </a:xfrm>
        </xdr:grpSpPr>
        <xdr:pic macro="[0]!OpenAddEmployeeForm">
          <xdr:nvPicPr>
            <xdr:cNvPr id="69" name="Graphic 68" descr="User with solid fill">
              <a:extLst>
                <a:ext uri="{FF2B5EF4-FFF2-40B4-BE49-F238E27FC236}">
                  <a16:creationId xmlns:a16="http://schemas.microsoft.com/office/drawing/2014/main" id="{5333B9BA-A3E6-127D-C60F-9E9993094A5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798301" y="763412"/>
              <a:ext cx="638815" cy="609531"/>
            </a:xfrm>
            <a:prstGeom prst="rect">
              <a:avLst/>
            </a:prstGeom>
          </xdr:spPr>
        </xdr:pic>
        <xdr:sp macro="[0]!OpenAddEmployeeForm" textlink="">
          <xdr:nvSpPr>
            <xdr:cNvPr id="72" name="Plus Sign 71">
              <a:extLst>
                <a:ext uri="{FF2B5EF4-FFF2-40B4-BE49-F238E27FC236}">
                  <a16:creationId xmlns:a16="http://schemas.microsoft.com/office/drawing/2014/main" id="{9E3620EC-7B3C-6035-816D-DEF556FDA7F0}"/>
                </a:ext>
              </a:extLst>
            </xdr:cNvPr>
            <xdr:cNvSpPr>
              <a:spLocks noChangeAspect="1"/>
            </xdr:cNvSpPr>
          </xdr:nvSpPr>
          <xdr:spPr>
            <a:xfrm>
              <a:off x="15616819" y="583529"/>
              <a:ext cx="400497" cy="402128"/>
            </a:xfrm>
            <a:prstGeom prst="mathPlus">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8</xdr:col>
      <xdr:colOff>1303033</xdr:colOff>
      <xdr:row>0</xdr:row>
      <xdr:rowOff>100965</xdr:rowOff>
    </xdr:from>
    <xdr:to>
      <xdr:col>9</xdr:col>
      <xdr:colOff>145745</xdr:colOff>
      <xdr:row>2</xdr:row>
      <xdr:rowOff>131445</xdr:rowOff>
    </xdr:to>
    <xdr:grpSp>
      <xdr:nvGrpSpPr>
        <xdr:cNvPr id="79" name="Delete Button">
          <a:extLst>
            <a:ext uri="{FF2B5EF4-FFF2-40B4-BE49-F238E27FC236}">
              <a16:creationId xmlns:a16="http://schemas.microsoft.com/office/drawing/2014/main" id="{92059C81-76B2-08A4-0BBC-C335FFF4292C}"/>
            </a:ext>
          </a:extLst>
        </xdr:cNvPr>
        <xdr:cNvGrpSpPr/>
      </xdr:nvGrpSpPr>
      <xdr:grpSpPr>
        <a:xfrm>
          <a:off x="12481573" y="100965"/>
          <a:ext cx="420052" cy="396240"/>
          <a:chOff x="15109508" y="2625090"/>
          <a:chExt cx="419100" cy="392430"/>
        </a:xfrm>
      </xdr:grpSpPr>
      <xdr:sp macro="[0]!OpenDeleteRecord" textlink="">
        <xdr:nvSpPr>
          <xdr:cNvPr id="75" name="Delete Box">
            <a:extLst>
              <a:ext uri="{FF2B5EF4-FFF2-40B4-BE49-F238E27FC236}">
                <a16:creationId xmlns:a16="http://schemas.microsoft.com/office/drawing/2014/main" id="{F22F3443-7FE9-40E1-9166-B133AD2BDBA5}"/>
              </a:ext>
            </a:extLst>
          </xdr:cNvPr>
          <xdr:cNvSpPr/>
        </xdr:nvSpPr>
        <xdr:spPr>
          <a:xfrm>
            <a:off x="15109508" y="2625090"/>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OpenDeleteRecord">
        <xdr:nvPicPr>
          <xdr:cNvPr id="78" name="DeleteIcon">
            <a:extLst>
              <a:ext uri="{FF2B5EF4-FFF2-40B4-BE49-F238E27FC236}">
                <a16:creationId xmlns:a16="http://schemas.microsoft.com/office/drawing/2014/main" id="{6DD743B7-9A60-A8FB-2B3A-DDED7957092A}"/>
              </a:ext>
            </a:extLst>
          </xdr:cNvPr>
          <xdr:cNvPicPr>
            <a:picLocks noChangeAspect="1"/>
          </xdr:cNvPicPr>
        </xdr:nvPicPr>
        <xdr:blipFill>
          <a:blip xmlns:r="http://schemas.openxmlformats.org/officeDocument/2006/relationships" r:embed="rId37"/>
          <a:stretch>
            <a:fillRect/>
          </a:stretch>
        </xdr:blipFill>
        <xdr:spPr>
          <a:xfrm>
            <a:off x="15235506" y="2732684"/>
            <a:ext cx="171350" cy="1713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7.903610995367"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102"/>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473"/>
    <x v="0"/>
  </r>
  <r>
    <n v="1002"/>
    <s v="Paz Aguilar Camacho"/>
    <x v="1"/>
    <s v="Female"/>
    <n v="53"/>
    <x v="1"/>
    <x v="1"/>
    <x v="1"/>
    <x v="1"/>
    <x v="0"/>
    <n v="293"/>
    <x v="1"/>
  </r>
  <r>
    <n v="1003"/>
    <s v="Celine Diaz Domingo"/>
    <x v="2"/>
    <s v="Female"/>
    <n v="31"/>
    <x v="0"/>
    <x v="2"/>
    <x v="2"/>
    <x v="2"/>
    <x v="1"/>
    <n v="247"/>
    <x v="1"/>
  </r>
  <r>
    <n v="1004"/>
    <s v="Eduardo Torres Dela Torre"/>
    <x v="1"/>
    <s v="Male"/>
    <n v="43"/>
    <x v="2"/>
    <x v="3"/>
    <x v="2"/>
    <x v="3"/>
    <x v="1"/>
    <n v="1698"/>
    <x v="0"/>
  </r>
  <r>
    <n v="1005"/>
    <s v="Jerome Ocampo Macapagal"/>
    <x v="3"/>
    <s v="Male"/>
    <n v="56"/>
    <x v="1"/>
    <x v="4"/>
    <x v="2"/>
    <x v="2"/>
    <x v="1"/>
    <n v="1906"/>
    <x v="2"/>
  </r>
  <r>
    <n v="1006"/>
    <s v="Lourdes Santiago Panganiban"/>
    <x v="1"/>
    <s v="Female"/>
    <n v="39"/>
    <x v="0"/>
    <x v="5"/>
    <x v="2"/>
    <x v="2"/>
    <x v="1"/>
    <n v="2780"/>
    <x v="3"/>
  </r>
  <r>
    <n v="1007"/>
    <s v="Manuel Quiambao"/>
    <x v="1"/>
    <s v="Male"/>
    <n v="38"/>
    <x v="0"/>
    <x v="6"/>
    <x v="2"/>
    <x v="2"/>
    <x v="1"/>
    <n v="232"/>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08"/>
    <x v="6"/>
  </r>
  <r>
    <n v="1012"/>
    <s v="Teresa Go Salazar"/>
    <x v="2"/>
    <s v="Female"/>
    <n v="31"/>
    <x v="0"/>
    <x v="11"/>
    <x v="2"/>
    <x v="2"/>
    <x v="1"/>
    <n v="319"/>
    <x v="1"/>
  </r>
  <r>
    <n v="1013"/>
    <s v="Gloria Wong"/>
    <x v="0"/>
    <s v="Other"/>
    <n v="21"/>
    <x v="3"/>
    <x v="12"/>
    <x v="2"/>
    <x v="2"/>
    <x v="1"/>
    <n v="320"/>
    <x v="1"/>
  </r>
  <r>
    <n v="1014"/>
    <s v="Jacqueline Bagtas"/>
    <x v="4"/>
    <s v="Female"/>
    <n v="31"/>
    <x v="0"/>
    <x v="13"/>
    <x v="6"/>
    <x v="5"/>
    <x v="0"/>
    <n v="629"/>
    <x v="5"/>
  </r>
  <r>
    <n v="1015"/>
    <s v="Paz Elegado"/>
    <x v="2"/>
    <s v="Female"/>
    <n v="53"/>
    <x v="1"/>
    <x v="14"/>
    <x v="7"/>
    <x v="1"/>
    <x v="0"/>
    <n v="281"/>
    <x v="1"/>
  </r>
  <r>
    <n v="1016"/>
    <s v="Christian Garcia Sy"/>
    <x v="0"/>
    <s v="Male"/>
    <n v="28"/>
    <x v="3"/>
    <x v="15"/>
    <x v="2"/>
    <x v="2"/>
    <x v="1"/>
    <n v="1620"/>
    <x v="0"/>
  </r>
  <r>
    <n v="1017"/>
    <s v="Bernardo Lopez Delos Reyes"/>
    <x v="1"/>
    <s v="Male"/>
    <n v="25"/>
    <x v="3"/>
    <x v="16"/>
    <x v="2"/>
    <x v="2"/>
    <x v="1"/>
    <n v="925"/>
    <x v="7"/>
  </r>
  <r>
    <n v="1018"/>
    <s v="Miguel Santiago Miranda"/>
    <x v="4"/>
    <s v="Other"/>
    <n v="48"/>
    <x v="2"/>
    <x v="17"/>
    <x v="2"/>
    <x v="2"/>
    <x v="1"/>
    <n v="2239"/>
    <x v="6"/>
  </r>
  <r>
    <n v="1019"/>
    <s v="Pete Santos Lim"/>
    <x v="4"/>
    <s v="Male"/>
    <n v="28"/>
    <x v="3"/>
    <x v="18"/>
    <x v="8"/>
    <x v="0"/>
    <x v="0"/>
    <n v="782"/>
    <x v="7"/>
  </r>
  <r>
    <n v="1020"/>
    <s v="Francis Aguilar Villanueva"/>
    <x v="1"/>
    <s v="Male"/>
    <n v="35"/>
    <x v="0"/>
    <x v="19"/>
    <x v="2"/>
    <x v="2"/>
    <x v="1"/>
    <n v="2830"/>
    <x v="3"/>
  </r>
  <r>
    <n v="1021"/>
    <s v="Teresita Tuazon"/>
    <x v="5"/>
    <s v="Female"/>
    <n v="29"/>
    <x v="3"/>
    <x v="20"/>
    <x v="2"/>
    <x v="2"/>
    <x v="1"/>
    <n v="768"/>
    <x v="7"/>
  </r>
  <r>
    <n v="1022"/>
    <s v="Fe Mendoza Dela Torre"/>
    <x v="1"/>
    <s v="Female"/>
    <n v="48"/>
    <x v="2"/>
    <x v="21"/>
    <x v="2"/>
    <x v="2"/>
    <x v="1"/>
    <n v="1655"/>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098"/>
    <x v="2"/>
  </r>
  <r>
    <n v="1029"/>
    <s v="Faith Ocampo Roque"/>
    <x v="3"/>
    <s v="Female"/>
    <n v="41"/>
    <x v="2"/>
    <x v="28"/>
    <x v="14"/>
    <x v="8"/>
    <x v="0"/>
    <n v="358"/>
    <x v="1"/>
  </r>
  <r>
    <n v="1030"/>
    <s v="Bernardo Manalang"/>
    <x v="1"/>
    <s v="Male"/>
    <n v="57"/>
    <x v="1"/>
    <x v="29"/>
    <x v="15"/>
    <x v="9"/>
    <x v="0"/>
    <n v="963"/>
    <x v="7"/>
  </r>
  <r>
    <n v="1031"/>
    <s v="Bryan Solis"/>
    <x v="2"/>
    <s v="Male"/>
    <n v="31"/>
    <x v="0"/>
    <x v="30"/>
    <x v="2"/>
    <x v="2"/>
    <x v="1"/>
    <n v="1312"/>
    <x v="4"/>
  </r>
  <r>
    <n v="1032"/>
    <s v="Ronaldo Mendoza Ramirez"/>
    <x v="2"/>
    <s v="Male"/>
    <n v="56"/>
    <x v="1"/>
    <x v="31"/>
    <x v="2"/>
    <x v="2"/>
    <x v="1"/>
    <n v="1880"/>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7"/>
    <x v="2"/>
  </r>
  <r>
    <n v="1038"/>
    <s v="Antonio Go Tuazon"/>
    <x v="2"/>
    <s v="Male"/>
    <n v="36"/>
    <x v="0"/>
    <x v="37"/>
    <x v="20"/>
    <x v="0"/>
    <x v="0"/>
    <n v="1526"/>
    <x v="0"/>
  </r>
  <r>
    <n v="1039"/>
    <s v="Fernando Aquino"/>
    <x v="4"/>
    <s v="Other"/>
    <n v="35"/>
    <x v="0"/>
    <x v="38"/>
    <x v="21"/>
    <x v="6"/>
    <x v="0"/>
    <n v="881"/>
    <x v="7"/>
  </r>
  <r>
    <n v="1040"/>
    <s v="Neil Mangubat"/>
    <x v="4"/>
    <s v="Male"/>
    <n v="46"/>
    <x v="2"/>
    <x v="39"/>
    <x v="2"/>
    <x v="2"/>
    <x v="1"/>
    <n v="323"/>
    <x v="1"/>
  </r>
  <r>
    <n v="1041"/>
    <s v="Roberto Sy Ocampo"/>
    <x v="1"/>
    <s v="Other"/>
    <n v="32"/>
    <x v="0"/>
    <x v="40"/>
    <x v="2"/>
    <x v="2"/>
    <x v="1"/>
    <n v="728"/>
    <x v="5"/>
  </r>
  <r>
    <n v="1042"/>
    <s v="Morgan Salazar"/>
    <x v="4"/>
    <s v="Other"/>
    <n v="48"/>
    <x v="2"/>
    <x v="41"/>
    <x v="2"/>
    <x v="2"/>
    <x v="1"/>
    <n v="623"/>
    <x v="5"/>
  </r>
  <r>
    <n v="1043"/>
    <s v="Olive Guevarra"/>
    <x v="1"/>
    <s v="Female"/>
    <n v="48"/>
    <x v="2"/>
    <x v="42"/>
    <x v="2"/>
    <x v="2"/>
    <x v="1"/>
    <n v="3100"/>
    <x v="8"/>
  </r>
  <r>
    <n v="1044"/>
    <s v="Joselito Obispo"/>
    <x v="5"/>
    <s v="Male"/>
    <n v="44"/>
    <x v="2"/>
    <x v="43"/>
    <x v="22"/>
    <x v="8"/>
    <x v="0"/>
    <n v="766"/>
    <x v="7"/>
  </r>
  <r>
    <n v="1045"/>
    <s v="Pete Rivera Flores"/>
    <x v="0"/>
    <s v="Male"/>
    <n v="41"/>
    <x v="2"/>
    <x v="44"/>
    <x v="2"/>
    <x v="2"/>
    <x v="1"/>
    <n v="1458"/>
    <x v="4"/>
  </r>
  <r>
    <n v="1046"/>
    <s v="Alex Sy Sia"/>
    <x v="5"/>
    <s v="Other"/>
    <n v="57"/>
    <x v="1"/>
    <x v="45"/>
    <x v="2"/>
    <x v="2"/>
    <x v="1"/>
    <n v="1874"/>
    <x v="2"/>
  </r>
  <r>
    <n v="1047"/>
    <s v="Marcelo Lopez Cueto"/>
    <x v="2"/>
    <s v="Male"/>
    <n v="41"/>
    <x v="2"/>
    <x v="46"/>
    <x v="2"/>
    <x v="2"/>
    <x v="1"/>
    <n v="1202"/>
    <x v="4"/>
  </r>
  <r>
    <n v="1048"/>
    <s v="Rosalinda Castro Figueroa"/>
    <x v="5"/>
    <s v="Female"/>
    <n v="42"/>
    <x v="2"/>
    <x v="47"/>
    <x v="2"/>
    <x v="2"/>
    <x v="1"/>
    <n v="2724"/>
    <x v="3"/>
  </r>
  <r>
    <n v="1049"/>
    <s v="Gloria Castro Roque"/>
    <x v="1"/>
    <s v="Female"/>
    <n v="51"/>
    <x v="1"/>
    <x v="48"/>
    <x v="2"/>
    <x v="2"/>
    <x v="1"/>
    <n v="603"/>
    <x v="5"/>
  </r>
  <r>
    <n v="1050"/>
    <s v="Ronaldo Go Estrada"/>
    <x v="5"/>
    <s v="Male"/>
    <n v="46"/>
    <x v="2"/>
    <x v="49"/>
    <x v="23"/>
    <x v="0"/>
    <x v="0"/>
    <n v="1498"/>
    <x v="0"/>
  </r>
  <r>
    <n v="1051"/>
    <s v="Sue Uy Perez"/>
    <x v="1"/>
    <s v="Female"/>
    <n v="28"/>
    <x v="3"/>
    <x v="50"/>
    <x v="24"/>
    <x v="8"/>
    <x v="0"/>
    <n v="1041"/>
    <x v="7"/>
  </r>
  <r>
    <n v="1052"/>
    <s v="Rowena Natividad"/>
    <x v="0"/>
    <s v="Other"/>
    <n v="53"/>
    <x v="1"/>
    <x v="51"/>
    <x v="2"/>
    <x v="2"/>
    <x v="1"/>
    <n v="1359"/>
    <x v="4"/>
  </r>
  <r>
    <n v="1053"/>
    <s v="Vicente Mercado Delmendo"/>
    <x v="5"/>
    <s v="Male"/>
    <n v="37"/>
    <x v="0"/>
    <x v="52"/>
    <x v="2"/>
    <x v="2"/>
    <x v="1"/>
    <n v="2094"/>
    <x v="2"/>
  </r>
  <r>
    <n v="1054"/>
    <s v="Rowena Rivera Ramirez"/>
    <x v="4"/>
    <s v="Female"/>
    <n v="39"/>
    <x v="0"/>
    <x v="53"/>
    <x v="25"/>
    <x v="4"/>
    <x v="0"/>
    <n v="744"/>
    <x v="7"/>
  </r>
  <r>
    <n v="1055"/>
    <s v="Gloria Flores Suarez"/>
    <x v="5"/>
    <s v="Other"/>
    <n v="25"/>
    <x v="3"/>
    <x v="54"/>
    <x v="2"/>
    <x v="2"/>
    <x v="1"/>
    <n v="1407"/>
    <x v="4"/>
  </r>
  <r>
    <n v="1056"/>
    <s v="Ivan Sia"/>
    <x v="2"/>
    <s v="Male"/>
    <n v="58"/>
    <x v="1"/>
    <x v="55"/>
    <x v="26"/>
    <x v="6"/>
    <x v="0"/>
    <n v="187"/>
    <x v="1"/>
  </r>
  <r>
    <n v="1057"/>
    <s v="Gloria Quiambao"/>
    <x v="2"/>
    <s v="Other"/>
    <n v="47"/>
    <x v="2"/>
    <x v="56"/>
    <x v="2"/>
    <x v="2"/>
    <x v="1"/>
    <n v="902"/>
    <x v="7"/>
  </r>
  <r>
    <n v="1058"/>
    <s v="Vanessa Go Obispo"/>
    <x v="0"/>
    <s v="Female"/>
    <n v="52"/>
    <x v="1"/>
    <x v="57"/>
    <x v="2"/>
    <x v="2"/>
    <x v="1"/>
    <n v="2988"/>
    <x v="8"/>
  </r>
  <r>
    <n v="1059"/>
    <s v="Lourdes Lozano"/>
    <x v="3"/>
    <s v="Other"/>
    <n v="55"/>
    <x v="1"/>
    <x v="58"/>
    <x v="2"/>
    <x v="2"/>
    <x v="1"/>
    <n v="2996"/>
    <x v="8"/>
  </r>
  <r>
    <n v="1060"/>
    <s v="Elmer Buenaventura"/>
    <x v="1"/>
    <s v="Male"/>
    <n v="64"/>
    <x v="4"/>
    <x v="59"/>
    <x v="27"/>
    <x v="7"/>
    <x v="0"/>
    <n v="1642"/>
    <x v="0"/>
  </r>
  <r>
    <n v="1061"/>
    <s v="Elena Cruz"/>
    <x v="4"/>
    <s v="Other"/>
    <n v="47"/>
    <x v="2"/>
    <x v="60"/>
    <x v="2"/>
    <x v="2"/>
    <x v="1"/>
    <n v="2073"/>
    <x v="2"/>
  </r>
  <r>
    <n v="1062"/>
    <s v="Eduardo Vega"/>
    <x v="1"/>
    <s v="Other"/>
    <n v="35"/>
    <x v="0"/>
    <x v="61"/>
    <x v="28"/>
    <x v="1"/>
    <x v="0"/>
    <n v="110"/>
    <x v="1"/>
  </r>
  <r>
    <n v="1063"/>
    <s v="Violeta Torres Ignacio"/>
    <x v="0"/>
    <s v="Female"/>
    <n v="51"/>
    <x v="1"/>
    <x v="62"/>
    <x v="29"/>
    <x v="0"/>
    <x v="0"/>
    <n v="332"/>
    <x v="1"/>
  </r>
  <r>
    <n v="1064"/>
    <s v="Grace Macapagal"/>
    <x v="5"/>
    <s v="Female"/>
    <n v="40"/>
    <x v="2"/>
    <x v="63"/>
    <x v="2"/>
    <x v="2"/>
    <x v="1"/>
    <n v="2664"/>
    <x v="3"/>
  </r>
  <r>
    <n v="1065"/>
    <s v="Renato Lopez"/>
    <x v="3"/>
    <s v="Male"/>
    <n v="33"/>
    <x v="0"/>
    <x v="64"/>
    <x v="2"/>
    <x v="2"/>
    <x v="1"/>
    <n v="2795"/>
    <x v="3"/>
  </r>
  <r>
    <n v="1066"/>
    <s v="Efren Santiago Fajardo"/>
    <x v="4"/>
    <s v="Other"/>
    <n v="28"/>
    <x v="3"/>
    <x v="65"/>
    <x v="2"/>
    <x v="2"/>
    <x v="1"/>
    <n v="788"/>
    <x v="7"/>
  </r>
  <r>
    <n v="1067"/>
    <s v="Ronaldo Lacson"/>
    <x v="1"/>
    <s v="Male"/>
    <n v="21"/>
    <x v="3"/>
    <x v="66"/>
    <x v="2"/>
    <x v="2"/>
    <x v="1"/>
    <n v="1386"/>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71"/>
    <x v="4"/>
  </r>
  <r>
    <n v="1073"/>
    <s v="Samuel Vega Del Rosario"/>
    <x v="4"/>
    <s v="Male"/>
    <n v="51"/>
    <x v="1"/>
    <x v="72"/>
    <x v="2"/>
    <x v="2"/>
    <x v="1"/>
    <n v="839"/>
    <x v="7"/>
  </r>
  <r>
    <n v="1074"/>
    <s v="Leonora Rivera"/>
    <x v="5"/>
    <s v="Female"/>
    <n v="55"/>
    <x v="1"/>
    <x v="73"/>
    <x v="34"/>
    <x v="7"/>
    <x v="0"/>
    <n v="878"/>
    <x v="7"/>
  </r>
  <r>
    <n v="1075"/>
    <s v="Aldrin Soriano Lim"/>
    <x v="4"/>
    <s v="Male"/>
    <n v="54"/>
    <x v="1"/>
    <x v="74"/>
    <x v="35"/>
    <x v="4"/>
    <x v="0"/>
    <n v="192"/>
    <x v="1"/>
  </r>
  <r>
    <n v="1076"/>
    <s v="Pete Chua"/>
    <x v="1"/>
    <s v="Male"/>
    <n v="38"/>
    <x v="0"/>
    <x v="75"/>
    <x v="2"/>
    <x v="2"/>
    <x v="1"/>
    <n v="2920"/>
    <x v="3"/>
  </r>
  <r>
    <n v="1077"/>
    <s v="Maricel Uy Co"/>
    <x v="1"/>
    <s v="Other"/>
    <n v="52"/>
    <x v="1"/>
    <x v="76"/>
    <x v="2"/>
    <x v="2"/>
    <x v="1"/>
    <n v="2686"/>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89"/>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8"/>
    <x v="5"/>
  </r>
  <r>
    <n v="1084"/>
    <s v="Maricel Go Co"/>
    <x v="5"/>
    <s v="Other"/>
    <n v="30"/>
    <x v="0"/>
    <x v="83"/>
    <x v="40"/>
    <x v="8"/>
    <x v="0"/>
    <n v="1349"/>
    <x v="4"/>
  </r>
  <r>
    <n v="1085"/>
    <s v="Luisa Sy Ramos"/>
    <x v="5"/>
    <s v="Other"/>
    <n v="38"/>
    <x v="0"/>
    <x v="84"/>
    <x v="2"/>
    <x v="2"/>
    <x v="1"/>
    <n v="1057"/>
    <x v="7"/>
  </r>
  <r>
    <n v="1086"/>
    <s v="Ulysses Gonzales Macapagal"/>
    <x v="5"/>
    <s v="Male"/>
    <n v="22"/>
    <x v="3"/>
    <x v="85"/>
    <x v="41"/>
    <x v="5"/>
    <x v="0"/>
    <n v="174"/>
    <x v="1"/>
  </r>
  <r>
    <n v="1087"/>
    <s v="Timothy Zulueta"/>
    <x v="0"/>
    <s v="Male"/>
    <n v="38"/>
    <x v="0"/>
    <x v="86"/>
    <x v="2"/>
    <x v="2"/>
    <x v="1"/>
    <n v="2363"/>
    <x v="6"/>
  </r>
  <r>
    <n v="1088"/>
    <s v="Francis Bondoc"/>
    <x v="3"/>
    <s v="Male"/>
    <n v="47"/>
    <x v="2"/>
    <x v="87"/>
    <x v="42"/>
    <x v="4"/>
    <x v="0"/>
    <n v="304"/>
    <x v="1"/>
  </r>
  <r>
    <n v="1089"/>
    <s v="Rodel Tan Go"/>
    <x v="4"/>
    <s v="Other"/>
    <n v="56"/>
    <x v="1"/>
    <x v="88"/>
    <x v="2"/>
    <x v="2"/>
    <x v="1"/>
    <n v="2956"/>
    <x v="8"/>
  </r>
  <r>
    <n v="1090"/>
    <s v="Carmen Santiago Bondoc"/>
    <x v="2"/>
    <s v="Other"/>
    <n v="21"/>
    <x v="3"/>
    <x v="89"/>
    <x v="2"/>
    <x v="2"/>
    <x v="1"/>
    <n v="413"/>
    <x v="5"/>
  </r>
  <r>
    <n v="1091"/>
    <s v="Victor Reyes Jimenez"/>
    <x v="0"/>
    <s v="Male"/>
    <n v="49"/>
    <x v="2"/>
    <x v="90"/>
    <x v="43"/>
    <x v="5"/>
    <x v="0"/>
    <n v="626"/>
    <x v="5"/>
  </r>
  <r>
    <n v="1092"/>
    <s v="Danilo Tan"/>
    <x v="3"/>
    <s v="Male"/>
    <n v="36"/>
    <x v="0"/>
    <x v="91"/>
    <x v="44"/>
    <x v="9"/>
    <x v="0"/>
    <n v="146"/>
    <x v="1"/>
  </r>
  <r>
    <n v="1093"/>
    <s v="Ian Aguilar Miranda"/>
    <x v="3"/>
    <s v="Male"/>
    <n v="28"/>
    <x v="3"/>
    <x v="92"/>
    <x v="2"/>
    <x v="2"/>
    <x v="1"/>
    <n v="453"/>
    <x v="5"/>
  </r>
  <r>
    <n v="1094"/>
    <s v="Diosdado Ramos Salazar"/>
    <x v="4"/>
    <s v="Male"/>
    <n v="51"/>
    <x v="1"/>
    <x v="93"/>
    <x v="2"/>
    <x v="2"/>
    <x v="1"/>
    <n v="2108"/>
    <x v="2"/>
  </r>
  <r>
    <n v="1095"/>
    <s v="Kath Wong"/>
    <x v="2"/>
    <s v="Female"/>
    <n v="47"/>
    <x v="2"/>
    <x v="94"/>
    <x v="2"/>
    <x v="2"/>
    <x v="1"/>
    <n v="1714"/>
    <x v="0"/>
  </r>
  <r>
    <n v="1096"/>
    <s v="Ivy Chan Domingo"/>
    <x v="4"/>
    <s v="Female"/>
    <n v="58"/>
    <x v="1"/>
    <x v="95"/>
    <x v="2"/>
    <x v="2"/>
    <x v="1"/>
    <n v="731"/>
    <x v="7"/>
  </r>
  <r>
    <n v="1097"/>
    <s v="Elmer Diaz"/>
    <x v="4"/>
    <s v="Male"/>
    <n v="55"/>
    <x v="1"/>
    <x v="96"/>
    <x v="2"/>
    <x v="2"/>
    <x v="1"/>
    <n v="1561"/>
    <x v="0"/>
  </r>
  <r>
    <n v="1098"/>
    <s v="Leonard Salazar"/>
    <x v="1"/>
    <s v="Male"/>
    <n v="47"/>
    <x v="2"/>
    <x v="97"/>
    <x v="45"/>
    <x v="1"/>
    <x v="0"/>
    <n v="2027"/>
    <x v="2"/>
  </r>
  <r>
    <n v="1099"/>
    <s v="Bernardo Bagtas"/>
    <x v="2"/>
    <s v="Male"/>
    <n v="30"/>
    <x v="0"/>
    <x v="98"/>
    <x v="2"/>
    <x v="2"/>
    <x v="1"/>
    <n v="1078"/>
    <x v="7"/>
  </r>
  <r>
    <n v="1100"/>
    <s v="Eva Reyes"/>
    <x v="4"/>
    <s v="Female"/>
    <n v="49"/>
    <x v="2"/>
    <x v="99"/>
    <x v="2"/>
    <x v="2"/>
    <x v="1"/>
    <n v="2698"/>
    <x v="3"/>
  </r>
  <r>
    <n v="1101"/>
    <s v="Teodoro Buenaventura"/>
    <x v="4"/>
    <s v="Male"/>
    <n v="30"/>
    <x v="0"/>
    <x v="100"/>
    <x v="2"/>
    <x v="2"/>
    <x v="1"/>
    <n v="2800"/>
    <x v="3"/>
  </r>
  <r>
    <n v="1102"/>
    <s v="Rachel Macaraeg"/>
    <x v="4"/>
    <s v="Female"/>
    <n v="42"/>
    <x v="2"/>
    <x v="101"/>
    <x v="2"/>
    <x v="2"/>
    <x v="1"/>
    <n v="344"/>
    <x v="1"/>
  </r>
  <r>
    <n v="1103"/>
    <s v="Patricio Valencia"/>
    <x v="2"/>
    <s v="Male"/>
    <n v="55"/>
    <x v="1"/>
    <x v="102"/>
    <x v="2"/>
    <x v="2"/>
    <x v="1"/>
    <n v="2959"/>
    <x v="8"/>
  </r>
  <r>
    <n v="1104"/>
    <s v="Lourdes Soriano Manalo"/>
    <x v="4"/>
    <s v="Female"/>
    <n v="26"/>
    <x v="3"/>
    <x v="103"/>
    <x v="2"/>
    <x v="2"/>
    <x v="1"/>
    <n v="1329"/>
    <x v="4"/>
  </r>
  <r>
    <n v="1105"/>
    <s v="Nena Gonzales Bondoc"/>
    <x v="3"/>
    <s v="Female"/>
    <n v="24"/>
    <x v="3"/>
    <x v="104"/>
    <x v="46"/>
    <x v="0"/>
    <x v="0"/>
    <n v="972"/>
    <x v="7"/>
  </r>
  <r>
    <n v="1106"/>
    <s v="Jessa Go Narvasa"/>
    <x v="1"/>
    <s v="Female"/>
    <n v="45"/>
    <x v="2"/>
    <x v="105"/>
    <x v="2"/>
    <x v="2"/>
    <x v="1"/>
    <n v="568"/>
    <x v="5"/>
  </r>
  <r>
    <n v="1107"/>
    <s v="Oscar Vega Aguilar"/>
    <x v="0"/>
    <s v="Male"/>
    <n v="21"/>
    <x v="3"/>
    <x v="106"/>
    <x v="2"/>
    <x v="2"/>
    <x v="1"/>
    <n v="1201"/>
    <x v="4"/>
  </r>
  <r>
    <n v="1108"/>
    <s v="Sarah Rivera Umali"/>
    <x v="3"/>
    <s v="Female"/>
    <n v="48"/>
    <x v="2"/>
    <x v="107"/>
    <x v="47"/>
    <x v="0"/>
    <x v="0"/>
    <n v="167"/>
    <x v="1"/>
  </r>
  <r>
    <n v="1109"/>
    <s v="Nathan Bautista Ang"/>
    <x v="0"/>
    <s v="Male"/>
    <n v="39"/>
    <x v="0"/>
    <x v="108"/>
    <x v="2"/>
    <x v="2"/>
    <x v="1"/>
    <n v="3017"/>
    <x v="8"/>
  </r>
  <r>
    <n v="1110"/>
    <s v="Efren Tan"/>
    <x v="3"/>
    <s v="Other"/>
    <n v="39"/>
    <x v="0"/>
    <x v="109"/>
    <x v="2"/>
    <x v="2"/>
    <x v="1"/>
    <n v="2164"/>
    <x v="2"/>
  </r>
  <r>
    <n v="1111"/>
    <s v="Christian Santiago Manalo"/>
    <x v="0"/>
    <s v="Male"/>
    <n v="29"/>
    <x v="3"/>
    <x v="110"/>
    <x v="48"/>
    <x v="8"/>
    <x v="0"/>
    <n v="411"/>
    <x v="5"/>
  </r>
  <r>
    <n v="1112"/>
    <s v="Jacqueline Santiago Vega"/>
    <x v="5"/>
    <s v="Female"/>
    <n v="39"/>
    <x v="0"/>
    <x v="111"/>
    <x v="2"/>
    <x v="2"/>
    <x v="1"/>
    <n v="1768"/>
    <x v="0"/>
  </r>
  <r>
    <n v="1113"/>
    <s v="Elena Chua"/>
    <x v="0"/>
    <s v="Other"/>
    <n v="31"/>
    <x v="0"/>
    <x v="112"/>
    <x v="2"/>
    <x v="2"/>
    <x v="1"/>
    <n v="2054"/>
    <x v="2"/>
  </r>
  <r>
    <n v="1114"/>
    <s v="Pacita Figueroa"/>
    <x v="4"/>
    <s v="Female"/>
    <n v="25"/>
    <x v="3"/>
    <x v="113"/>
    <x v="2"/>
    <x v="2"/>
    <x v="1"/>
    <n v="2530"/>
    <x v="6"/>
  </r>
  <r>
    <n v="1115"/>
    <s v="Gloria Domingo Castro"/>
    <x v="3"/>
    <s v="Other"/>
    <n v="56"/>
    <x v="1"/>
    <x v="114"/>
    <x v="49"/>
    <x v="0"/>
    <x v="0"/>
    <n v="898"/>
    <x v="7"/>
  </r>
  <r>
    <n v="1116"/>
    <s v="Elena Bautista"/>
    <x v="0"/>
    <s v="Other"/>
    <n v="44"/>
    <x v="2"/>
    <x v="115"/>
    <x v="2"/>
    <x v="2"/>
    <x v="1"/>
    <n v="2663"/>
    <x v="3"/>
  </r>
  <r>
    <n v="1117"/>
    <s v="Bryan Ramos Corpuz"/>
    <x v="3"/>
    <s v="Male"/>
    <n v="35"/>
    <x v="0"/>
    <x v="116"/>
    <x v="50"/>
    <x v="4"/>
    <x v="0"/>
    <n v="327"/>
    <x v="1"/>
  </r>
  <r>
    <n v="1118"/>
    <s v="Patricia Enriquez"/>
    <x v="1"/>
    <s v="Female"/>
    <n v="52"/>
    <x v="1"/>
    <x v="117"/>
    <x v="51"/>
    <x v="6"/>
    <x v="0"/>
    <n v="645"/>
    <x v="5"/>
  </r>
  <r>
    <n v="1119"/>
    <s v="Efren Viray"/>
    <x v="5"/>
    <s v="Male"/>
    <n v="58"/>
    <x v="1"/>
    <x v="118"/>
    <x v="2"/>
    <x v="2"/>
    <x v="1"/>
    <n v="2474"/>
    <x v="6"/>
  </r>
  <r>
    <n v="1120"/>
    <s v="Rosalinda Santiago Evangelista"/>
    <x v="3"/>
    <s v="Female"/>
    <n v="44"/>
    <x v="2"/>
    <x v="119"/>
    <x v="2"/>
    <x v="2"/>
    <x v="1"/>
    <n v="2217"/>
    <x v="6"/>
  </r>
  <r>
    <n v="1121"/>
    <s v="Miguel Castro"/>
    <x v="0"/>
    <s v="Other"/>
    <n v="43"/>
    <x v="2"/>
    <x v="120"/>
    <x v="2"/>
    <x v="2"/>
    <x v="1"/>
    <n v="2858"/>
    <x v="3"/>
  </r>
  <r>
    <n v="1122"/>
    <s v="Rosa Mendoza"/>
    <x v="2"/>
    <s v="Female"/>
    <n v="34"/>
    <x v="0"/>
    <x v="121"/>
    <x v="2"/>
    <x v="2"/>
    <x v="1"/>
    <n v="478"/>
    <x v="5"/>
  </r>
  <r>
    <n v="1123"/>
    <s v="Queenie Mangubat"/>
    <x v="4"/>
    <s v="Female"/>
    <n v="57"/>
    <x v="1"/>
    <x v="122"/>
    <x v="52"/>
    <x v="8"/>
    <x v="0"/>
    <n v="938"/>
    <x v="7"/>
  </r>
  <r>
    <n v="1124"/>
    <s v="Oscar Go"/>
    <x v="2"/>
    <s v="Male"/>
    <n v="38"/>
    <x v="0"/>
    <x v="123"/>
    <x v="2"/>
    <x v="2"/>
    <x v="1"/>
    <n v="2514"/>
    <x v="6"/>
  </r>
  <r>
    <n v="1125"/>
    <s v="Sam Ramos Soriano"/>
    <x v="1"/>
    <s v="Other"/>
    <n v="29"/>
    <x v="3"/>
    <x v="124"/>
    <x v="53"/>
    <x v="8"/>
    <x v="0"/>
    <n v="1064"/>
    <x v="7"/>
  </r>
  <r>
    <n v="1126"/>
    <s v="Jerome Uy Cueto"/>
    <x v="5"/>
    <s v="Male"/>
    <n v="25"/>
    <x v="3"/>
    <x v="125"/>
    <x v="2"/>
    <x v="2"/>
    <x v="1"/>
    <n v="1156"/>
    <x v="4"/>
  </r>
  <r>
    <n v="1127"/>
    <s v="Carmen Bayani"/>
    <x v="0"/>
    <s v="Other"/>
    <n v="23"/>
    <x v="3"/>
    <x v="126"/>
    <x v="2"/>
    <x v="2"/>
    <x v="1"/>
    <n v="408"/>
    <x v="5"/>
  </r>
  <r>
    <n v="1128"/>
    <s v="Gani Miranda"/>
    <x v="1"/>
    <s v="Male"/>
    <n v="46"/>
    <x v="2"/>
    <x v="127"/>
    <x v="2"/>
    <x v="2"/>
    <x v="1"/>
    <n v="1360"/>
    <x v="4"/>
  </r>
  <r>
    <n v="1129"/>
    <s v="Nena Sy Chua"/>
    <x v="1"/>
    <s v="Female"/>
    <n v="30"/>
    <x v="0"/>
    <x v="128"/>
    <x v="54"/>
    <x v="6"/>
    <x v="0"/>
    <n v="1421"/>
    <x v="4"/>
  </r>
  <r>
    <n v="1130"/>
    <s v="Antonio Go Bondoc"/>
    <x v="1"/>
    <s v="Other"/>
    <n v="56"/>
    <x v="1"/>
    <x v="129"/>
    <x v="2"/>
    <x v="2"/>
    <x v="1"/>
    <n v="2226"/>
    <x v="6"/>
  </r>
  <r>
    <n v="1131"/>
    <s v="Cameron Guevarra"/>
    <x v="4"/>
    <s v="Other"/>
    <n v="41"/>
    <x v="2"/>
    <x v="130"/>
    <x v="55"/>
    <x v="6"/>
    <x v="0"/>
    <n v="612"/>
    <x v="5"/>
  </r>
  <r>
    <n v="1132"/>
    <s v="Rowena Diaz Torres"/>
    <x v="1"/>
    <s v="Other"/>
    <n v="26"/>
    <x v="3"/>
    <x v="131"/>
    <x v="56"/>
    <x v="4"/>
    <x v="0"/>
    <n v="853"/>
    <x v="7"/>
  </r>
  <r>
    <n v="1133"/>
    <s v="Zeus Flores Yap"/>
    <x v="5"/>
    <s v="Male"/>
    <n v="48"/>
    <x v="2"/>
    <x v="132"/>
    <x v="2"/>
    <x v="2"/>
    <x v="1"/>
    <n v="2896"/>
    <x v="3"/>
  </r>
  <r>
    <n v="1134"/>
    <s v="Kevin Gonzales"/>
    <x v="1"/>
    <s v="Male"/>
    <n v="27"/>
    <x v="3"/>
    <x v="133"/>
    <x v="2"/>
    <x v="2"/>
    <x v="1"/>
    <n v="1672"/>
    <x v="0"/>
  </r>
  <r>
    <n v="1135"/>
    <s v="Rowena Bautista"/>
    <x v="0"/>
    <s v="Other"/>
    <n v="56"/>
    <x v="1"/>
    <x v="134"/>
    <x v="2"/>
    <x v="2"/>
    <x v="1"/>
    <n v="560"/>
    <x v="5"/>
  </r>
  <r>
    <n v="1136"/>
    <s v="Efren Fernandez Santos"/>
    <x v="5"/>
    <s v="Other"/>
    <n v="22"/>
    <x v="3"/>
    <x v="135"/>
    <x v="57"/>
    <x v="5"/>
    <x v="0"/>
    <n v="1355"/>
    <x v="4"/>
  </r>
  <r>
    <n v="1137"/>
    <s v="Danilo Rivera Del Rosario"/>
    <x v="0"/>
    <s v="Male"/>
    <n v="30"/>
    <x v="0"/>
    <x v="136"/>
    <x v="2"/>
    <x v="2"/>
    <x v="1"/>
    <n v="513"/>
    <x v="5"/>
  </r>
  <r>
    <n v="1138"/>
    <s v="Sonny Bautista Perez"/>
    <x v="4"/>
    <s v="Male"/>
    <n v="44"/>
    <x v="2"/>
    <x v="137"/>
    <x v="2"/>
    <x v="2"/>
    <x v="1"/>
    <n v="1830"/>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4"/>
    <x v="6"/>
  </r>
  <r>
    <n v="1142"/>
    <s v="Kath Jacinto"/>
    <x v="5"/>
    <s v="Female"/>
    <n v="45"/>
    <x v="2"/>
    <x v="16"/>
    <x v="2"/>
    <x v="2"/>
    <x v="1"/>
    <n v="925"/>
    <x v="7"/>
  </r>
  <r>
    <n v="1143"/>
    <s v="Aileen Lim Macapagal"/>
    <x v="5"/>
    <s v="Female"/>
    <n v="23"/>
    <x v="3"/>
    <x v="141"/>
    <x v="60"/>
    <x v="4"/>
    <x v="0"/>
    <n v="249"/>
    <x v="1"/>
  </r>
  <r>
    <n v="1144"/>
    <s v="Alvin Hernandez"/>
    <x v="4"/>
    <s v="Male"/>
    <n v="41"/>
    <x v="2"/>
    <x v="142"/>
    <x v="2"/>
    <x v="2"/>
    <x v="1"/>
    <n v="2403"/>
    <x v="6"/>
  </r>
  <r>
    <n v="1145"/>
    <s v="Teresa Soriano Ramos"/>
    <x v="1"/>
    <s v="Other"/>
    <n v="36"/>
    <x v="0"/>
    <x v="143"/>
    <x v="2"/>
    <x v="2"/>
    <x v="1"/>
    <n v="1322"/>
    <x v="4"/>
  </r>
  <r>
    <n v="1146"/>
    <s v="Josephine Vega Elegado"/>
    <x v="5"/>
    <s v="Female"/>
    <n v="31"/>
    <x v="0"/>
    <x v="144"/>
    <x v="2"/>
    <x v="2"/>
    <x v="1"/>
    <n v="2794"/>
    <x v="3"/>
  </r>
  <r>
    <n v="1147"/>
    <s v="Cristina Domingo"/>
    <x v="4"/>
    <s v="Other"/>
    <n v="30"/>
    <x v="0"/>
    <x v="145"/>
    <x v="61"/>
    <x v="0"/>
    <x v="0"/>
    <n v="614"/>
    <x v="5"/>
  </r>
  <r>
    <n v="1148"/>
    <s v="Daisy Guevarra"/>
    <x v="5"/>
    <s v="Female"/>
    <n v="52"/>
    <x v="1"/>
    <x v="146"/>
    <x v="2"/>
    <x v="2"/>
    <x v="1"/>
    <n v="1206"/>
    <x v="4"/>
  </r>
  <r>
    <n v="1149"/>
    <s v="Victor Aguilar Valencia"/>
    <x v="0"/>
    <s v="Male"/>
    <n v="41"/>
    <x v="2"/>
    <x v="147"/>
    <x v="62"/>
    <x v="0"/>
    <x v="0"/>
    <n v="315"/>
    <x v="1"/>
  </r>
  <r>
    <n v="1150"/>
    <s v="Antonio Pascual Torres"/>
    <x v="0"/>
    <s v="Male"/>
    <n v="25"/>
    <x v="3"/>
    <x v="148"/>
    <x v="2"/>
    <x v="2"/>
    <x v="1"/>
    <n v="1835"/>
    <x v="2"/>
  </r>
  <r>
    <n v="1151"/>
    <s v="Arnel Cruz Suarez"/>
    <x v="1"/>
    <s v="Other"/>
    <n v="26"/>
    <x v="3"/>
    <x v="149"/>
    <x v="2"/>
    <x v="2"/>
    <x v="1"/>
    <n v="587"/>
    <x v="5"/>
  </r>
  <r>
    <n v="1152"/>
    <s v="Pilar Domingo"/>
    <x v="4"/>
    <s v="Other"/>
    <n v="33"/>
    <x v="0"/>
    <x v="150"/>
    <x v="2"/>
    <x v="2"/>
    <x v="1"/>
    <n v="1790"/>
    <x v="0"/>
  </r>
  <r>
    <n v="1153"/>
    <s v="Jose Uy Garcia"/>
    <x v="4"/>
    <s v="Other"/>
    <n v="42"/>
    <x v="2"/>
    <x v="151"/>
    <x v="2"/>
    <x v="2"/>
    <x v="1"/>
    <n v="2761"/>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78"/>
    <x v="3"/>
  </r>
  <r>
    <n v="1157"/>
    <s v="Samuel Santiago Cueto"/>
    <x v="2"/>
    <s v="Male"/>
    <n v="54"/>
    <x v="1"/>
    <x v="47"/>
    <x v="2"/>
    <x v="2"/>
    <x v="1"/>
    <n v="2724"/>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7"/>
    <x v="4"/>
  </r>
  <r>
    <n v="1161"/>
    <s v="Maricel Pascual Manalo"/>
    <x v="3"/>
    <s v="Other"/>
    <n v="33"/>
    <x v="0"/>
    <x v="158"/>
    <x v="2"/>
    <x v="2"/>
    <x v="1"/>
    <n v="1600"/>
    <x v="0"/>
  </r>
  <r>
    <n v="1162"/>
    <s v="Bong Ramirez"/>
    <x v="5"/>
    <s v="Male"/>
    <n v="47"/>
    <x v="2"/>
    <x v="159"/>
    <x v="2"/>
    <x v="2"/>
    <x v="1"/>
    <n v="2443"/>
    <x v="6"/>
  </r>
  <r>
    <n v="1163"/>
    <s v="Larry Lopez Castro"/>
    <x v="1"/>
    <s v="Male"/>
    <n v="44"/>
    <x v="2"/>
    <x v="160"/>
    <x v="2"/>
    <x v="2"/>
    <x v="1"/>
    <n v="835"/>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7"/>
    <x v="1"/>
  </r>
  <r>
    <n v="1167"/>
    <s v="Roberto Go Sy"/>
    <x v="2"/>
    <s v="Male"/>
    <n v="53"/>
    <x v="1"/>
    <x v="164"/>
    <x v="69"/>
    <x v="7"/>
    <x v="0"/>
    <n v="680"/>
    <x v="5"/>
  </r>
  <r>
    <n v="1168"/>
    <s v="Pilar Fernandez Macapagal"/>
    <x v="1"/>
    <s v="Other"/>
    <n v="52"/>
    <x v="1"/>
    <x v="74"/>
    <x v="2"/>
    <x v="2"/>
    <x v="1"/>
    <n v="662"/>
    <x v="5"/>
  </r>
  <r>
    <n v="1169"/>
    <s v="Kristina Enriquez"/>
    <x v="4"/>
    <s v="Female"/>
    <n v="43"/>
    <x v="2"/>
    <x v="165"/>
    <x v="2"/>
    <x v="2"/>
    <x v="1"/>
    <n v="2121"/>
    <x v="2"/>
  </r>
  <r>
    <n v="1170"/>
    <s v="Jimmy Chan Hilario"/>
    <x v="0"/>
    <s v="Male"/>
    <n v="54"/>
    <x v="1"/>
    <x v="166"/>
    <x v="2"/>
    <x v="2"/>
    <x v="1"/>
    <n v="878"/>
    <x v="7"/>
  </r>
  <r>
    <n v="1171"/>
    <s v="Ivan Mendoza Aquino"/>
    <x v="1"/>
    <s v="Male"/>
    <n v="44"/>
    <x v="2"/>
    <x v="167"/>
    <x v="2"/>
    <x v="2"/>
    <x v="1"/>
    <n v="2068"/>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3"/>
    <x v="3"/>
  </r>
  <r>
    <n v="1177"/>
    <s v="Samuel Pascual"/>
    <x v="1"/>
    <s v="Male"/>
    <n v="40"/>
    <x v="2"/>
    <x v="173"/>
    <x v="2"/>
    <x v="2"/>
    <x v="1"/>
    <n v="1280"/>
    <x v="4"/>
  </r>
  <r>
    <n v="1178"/>
    <s v="Celine Zulueta"/>
    <x v="4"/>
    <s v="Female"/>
    <n v="43"/>
    <x v="2"/>
    <x v="174"/>
    <x v="2"/>
    <x v="2"/>
    <x v="1"/>
    <n v="588"/>
    <x v="5"/>
  </r>
  <r>
    <n v="1179"/>
    <s v="Herminia Uy Bautista"/>
    <x v="3"/>
    <s v="Female"/>
    <n v="46"/>
    <x v="2"/>
    <x v="175"/>
    <x v="2"/>
    <x v="2"/>
    <x v="1"/>
    <n v="1618"/>
    <x v="0"/>
  </r>
  <r>
    <n v="1180"/>
    <s v="Tess Ocampo"/>
    <x v="1"/>
    <s v="Female"/>
    <n v="44"/>
    <x v="2"/>
    <x v="176"/>
    <x v="2"/>
    <x v="2"/>
    <x v="1"/>
    <n v="1623"/>
    <x v="0"/>
  </r>
  <r>
    <n v="1181"/>
    <s v="Maricel Tan Ramirez"/>
    <x v="5"/>
    <s v="Other"/>
    <n v="44"/>
    <x v="2"/>
    <x v="177"/>
    <x v="2"/>
    <x v="2"/>
    <x v="1"/>
    <n v="1288"/>
    <x v="4"/>
  </r>
  <r>
    <n v="1182"/>
    <s v="Jessa Torres Delmendo"/>
    <x v="4"/>
    <s v="Female"/>
    <n v="28"/>
    <x v="3"/>
    <x v="178"/>
    <x v="2"/>
    <x v="2"/>
    <x v="1"/>
    <n v="3000"/>
    <x v="8"/>
  </r>
  <r>
    <n v="1183"/>
    <s v="Diana Hernandez"/>
    <x v="4"/>
    <s v="Female"/>
    <n v="49"/>
    <x v="2"/>
    <x v="179"/>
    <x v="2"/>
    <x v="2"/>
    <x v="1"/>
    <n v="2228"/>
    <x v="6"/>
  </r>
  <r>
    <n v="1184"/>
    <s v="Hope Ocampo Enriquez"/>
    <x v="0"/>
    <s v="Female"/>
    <n v="25"/>
    <x v="3"/>
    <x v="180"/>
    <x v="74"/>
    <x v="5"/>
    <x v="0"/>
    <n v="1001"/>
    <x v="7"/>
  </r>
  <r>
    <n v="1185"/>
    <s v="Jacqueline Torres Evangelista"/>
    <x v="0"/>
    <s v="Female"/>
    <n v="40"/>
    <x v="2"/>
    <x v="181"/>
    <x v="2"/>
    <x v="2"/>
    <x v="1"/>
    <n v="2461"/>
    <x v="6"/>
  </r>
  <r>
    <n v="1186"/>
    <s v="Carmen Garcia Hilario"/>
    <x v="3"/>
    <s v="Other"/>
    <n v="36"/>
    <x v="0"/>
    <x v="182"/>
    <x v="75"/>
    <x v="9"/>
    <x v="0"/>
    <n v="657"/>
    <x v="5"/>
  </r>
  <r>
    <n v="1187"/>
    <s v="Paolo Navarro Macapagal"/>
    <x v="1"/>
    <s v="Male"/>
    <n v="51"/>
    <x v="1"/>
    <x v="183"/>
    <x v="2"/>
    <x v="2"/>
    <x v="1"/>
    <n v="953"/>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08"/>
    <x v="5"/>
  </r>
  <r>
    <n v="1192"/>
    <s v="Maricel Camacho"/>
    <x v="0"/>
    <s v="Other"/>
    <n v="22"/>
    <x v="3"/>
    <x v="186"/>
    <x v="79"/>
    <x v="8"/>
    <x v="0"/>
    <n v="1174"/>
    <x v="4"/>
  </r>
  <r>
    <n v="1193"/>
    <s v="Manuel Tan Umali"/>
    <x v="1"/>
    <s v="Other"/>
    <n v="55"/>
    <x v="1"/>
    <x v="187"/>
    <x v="2"/>
    <x v="2"/>
    <x v="1"/>
    <n v="1920"/>
    <x v="2"/>
  </r>
  <r>
    <n v="1194"/>
    <s v="Hazel Fernandez Suarez"/>
    <x v="4"/>
    <s v="Female"/>
    <n v="24"/>
    <x v="3"/>
    <x v="188"/>
    <x v="2"/>
    <x v="2"/>
    <x v="1"/>
    <n v="2459"/>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6"/>
    <x v="7"/>
  </r>
  <r>
    <n v="1199"/>
    <s v="Ronaldo Domingo Lacson"/>
    <x v="1"/>
    <s v="Male"/>
    <n v="51"/>
    <x v="1"/>
    <x v="193"/>
    <x v="2"/>
    <x v="2"/>
    <x v="1"/>
    <n v="1936"/>
    <x v="2"/>
  </r>
  <r>
    <n v="1200"/>
    <s v="Maricel Pascual Jacinto"/>
    <x v="5"/>
    <s v="Other"/>
    <n v="44"/>
    <x v="2"/>
    <x v="194"/>
    <x v="2"/>
    <x v="2"/>
    <x v="1"/>
    <n v="2921"/>
    <x v="3"/>
  </r>
  <r>
    <n v="1201"/>
    <s v="Joselito Flores"/>
    <x v="1"/>
    <s v="Male"/>
    <n v="56"/>
    <x v="1"/>
    <x v="195"/>
    <x v="2"/>
    <x v="2"/>
    <x v="1"/>
    <n v="1961"/>
    <x v="2"/>
  </r>
  <r>
    <n v="1202"/>
    <s v="Cameron Vega"/>
    <x v="4"/>
    <s v="Other"/>
    <n v="42"/>
    <x v="2"/>
    <x v="196"/>
    <x v="2"/>
    <x v="2"/>
    <x v="1"/>
    <n v="822"/>
    <x v="7"/>
  </r>
  <r>
    <n v="1203"/>
    <s v="Gina Ramos Delmendo"/>
    <x v="4"/>
    <s v="Female"/>
    <n v="23"/>
    <x v="3"/>
    <x v="197"/>
    <x v="2"/>
    <x v="2"/>
    <x v="1"/>
    <n v="2545"/>
    <x v="6"/>
  </r>
  <r>
    <n v="1204"/>
    <s v="Bryan Ang Ong"/>
    <x v="4"/>
    <s v="Male"/>
    <n v="31"/>
    <x v="0"/>
    <x v="198"/>
    <x v="2"/>
    <x v="2"/>
    <x v="1"/>
    <n v="1497"/>
    <x v="0"/>
  </r>
  <r>
    <n v="1205"/>
    <s v="Grace Obispo"/>
    <x v="5"/>
    <s v="Female"/>
    <n v="22"/>
    <x v="3"/>
    <x v="199"/>
    <x v="34"/>
    <x v="5"/>
    <x v="0"/>
    <n v="314"/>
    <x v="1"/>
  </r>
  <r>
    <n v="1206"/>
    <s v="Willy Bautista Macapagal"/>
    <x v="0"/>
    <s v="Male"/>
    <n v="37"/>
    <x v="0"/>
    <x v="200"/>
    <x v="2"/>
    <x v="2"/>
    <x v="1"/>
    <n v="421"/>
    <x v="5"/>
  </r>
  <r>
    <n v="1207"/>
    <s v="Teresita Torres Ocampo"/>
    <x v="0"/>
    <s v="Female"/>
    <n v="45"/>
    <x v="2"/>
    <x v="201"/>
    <x v="2"/>
    <x v="2"/>
    <x v="1"/>
    <n v="2501"/>
    <x v="6"/>
  </r>
  <r>
    <n v="1208"/>
    <s v="Lorenzo Chan Bondoc"/>
    <x v="1"/>
    <s v="Male"/>
    <n v="47"/>
    <x v="2"/>
    <x v="202"/>
    <x v="2"/>
    <x v="2"/>
    <x v="1"/>
    <n v="2486"/>
    <x v="6"/>
  </r>
  <r>
    <n v="1209"/>
    <s v="Elena Gonzales Elegado"/>
    <x v="2"/>
    <s v="Other"/>
    <n v="24"/>
    <x v="3"/>
    <x v="203"/>
    <x v="83"/>
    <x v="9"/>
    <x v="0"/>
    <n v="116"/>
    <x v="1"/>
  </r>
  <r>
    <n v="1210"/>
    <s v="Teodoro Mercado Solis"/>
    <x v="4"/>
    <s v="Male"/>
    <n v="55"/>
    <x v="1"/>
    <x v="21"/>
    <x v="2"/>
    <x v="2"/>
    <x v="1"/>
    <n v="1655"/>
    <x v="0"/>
  </r>
  <r>
    <n v="1211"/>
    <s v="Ivy Aguilar Macaraeg"/>
    <x v="4"/>
    <s v="Female"/>
    <n v="40"/>
    <x v="2"/>
    <x v="204"/>
    <x v="2"/>
    <x v="2"/>
    <x v="1"/>
    <n v="1923"/>
    <x v="2"/>
  </r>
  <r>
    <n v="1212"/>
    <s v="Nathan Manalang"/>
    <x v="4"/>
    <s v="Male"/>
    <n v="55"/>
    <x v="1"/>
    <x v="205"/>
    <x v="2"/>
    <x v="2"/>
    <x v="1"/>
    <n v="1551"/>
    <x v="0"/>
  </r>
  <r>
    <n v="1213"/>
    <s v="Hazel Aguilar Rivera"/>
    <x v="2"/>
    <s v="Female"/>
    <n v="39"/>
    <x v="0"/>
    <x v="172"/>
    <x v="84"/>
    <x v="8"/>
    <x v="0"/>
    <n v="1901"/>
    <x v="2"/>
  </r>
  <r>
    <n v="1214"/>
    <s v="Lourdes Ramirez Sy"/>
    <x v="3"/>
    <s v="Other"/>
    <n v="29"/>
    <x v="3"/>
    <x v="206"/>
    <x v="2"/>
    <x v="2"/>
    <x v="1"/>
    <n v="2659"/>
    <x v="3"/>
  </r>
  <r>
    <n v="1215"/>
    <s v="Lourdes Guevarra"/>
    <x v="0"/>
    <s v="Female"/>
    <n v="47"/>
    <x v="2"/>
    <x v="207"/>
    <x v="2"/>
    <x v="2"/>
    <x v="1"/>
    <n v="1754"/>
    <x v="0"/>
  </r>
  <r>
    <n v="1216"/>
    <s v="Eddie Umali"/>
    <x v="1"/>
    <s v="Male"/>
    <n v="31"/>
    <x v="0"/>
    <x v="208"/>
    <x v="2"/>
    <x v="2"/>
    <x v="1"/>
    <n v="1440"/>
    <x v="4"/>
  </r>
  <r>
    <n v="1217"/>
    <s v="Queenie Fajardo"/>
    <x v="5"/>
    <s v="Female"/>
    <n v="39"/>
    <x v="0"/>
    <x v="209"/>
    <x v="85"/>
    <x v="8"/>
    <x v="0"/>
    <n v="135"/>
    <x v="1"/>
  </r>
  <r>
    <n v="1218"/>
    <s v="Jacqueline Ocampo"/>
    <x v="2"/>
    <s v="Female"/>
    <n v="32"/>
    <x v="0"/>
    <x v="210"/>
    <x v="2"/>
    <x v="2"/>
    <x v="1"/>
    <n v="1395"/>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88"/>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3"/>
    <x v="4"/>
  </r>
  <r>
    <n v="1226"/>
    <s v="Ronaldo Villanueva"/>
    <x v="2"/>
    <s v="Other"/>
    <n v="26"/>
    <x v="3"/>
    <x v="217"/>
    <x v="2"/>
    <x v="2"/>
    <x v="1"/>
    <n v="954"/>
    <x v="7"/>
  </r>
  <r>
    <n v="1227"/>
    <s v="Cameron Uy Pascual"/>
    <x v="1"/>
    <s v="Other"/>
    <n v="53"/>
    <x v="1"/>
    <x v="218"/>
    <x v="2"/>
    <x v="2"/>
    <x v="1"/>
    <n v="2278"/>
    <x v="6"/>
  </r>
  <r>
    <n v="1228"/>
    <s v="Pilar Lim Roque"/>
    <x v="1"/>
    <s v="Female"/>
    <n v="58"/>
    <x v="1"/>
    <x v="219"/>
    <x v="91"/>
    <x v="6"/>
    <x v="0"/>
    <n v="612"/>
    <x v="5"/>
  </r>
  <r>
    <n v="1229"/>
    <s v="Rosa Santos Tolentino"/>
    <x v="4"/>
    <s v="Female"/>
    <n v="50"/>
    <x v="1"/>
    <x v="220"/>
    <x v="2"/>
    <x v="2"/>
    <x v="1"/>
    <n v="351"/>
    <x v="1"/>
  </r>
  <r>
    <n v="1230"/>
    <s v="Fernando Aquino"/>
    <x v="5"/>
    <s v="Male"/>
    <n v="23"/>
    <x v="3"/>
    <x v="221"/>
    <x v="92"/>
    <x v="9"/>
    <x v="0"/>
    <n v="220"/>
    <x v="1"/>
  </r>
  <r>
    <n v="1231"/>
    <s v="Yvonne Ignacio"/>
    <x v="0"/>
    <s v="Female"/>
    <n v="32"/>
    <x v="0"/>
    <x v="222"/>
    <x v="2"/>
    <x v="2"/>
    <x v="1"/>
    <n v="2552"/>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59"/>
    <x v="4"/>
  </r>
  <r>
    <n v="1237"/>
    <s v="Hope Navarro Macapagal"/>
    <x v="5"/>
    <s v="Female"/>
    <n v="39"/>
    <x v="0"/>
    <x v="227"/>
    <x v="2"/>
    <x v="2"/>
    <x v="1"/>
    <n v="2147"/>
    <x v="2"/>
  </r>
  <r>
    <n v="1238"/>
    <s v="Fernando Gonzales Torres"/>
    <x v="1"/>
    <s v="Other"/>
    <n v="54"/>
    <x v="1"/>
    <x v="228"/>
    <x v="2"/>
    <x v="2"/>
    <x v="1"/>
    <n v="2201"/>
    <x v="6"/>
  </r>
  <r>
    <n v="1239"/>
    <s v="Leonard Lim Elegado"/>
    <x v="0"/>
    <s v="Male"/>
    <n v="52"/>
    <x v="1"/>
    <x v="229"/>
    <x v="2"/>
    <x v="2"/>
    <x v="1"/>
    <n v="2914"/>
    <x v="3"/>
  </r>
  <r>
    <n v="1240"/>
    <s v="Pacita Sia"/>
    <x v="4"/>
    <s v="Female"/>
    <n v="32"/>
    <x v="0"/>
    <x v="230"/>
    <x v="2"/>
    <x v="2"/>
    <x v="1"/>
    <n v="903"/>
    <x v="7"/>
  </r>
  <r>
    <n v="1241"/>
    <s v="Rafael Rivera Jacinto"/>
    <x v="1"/>
    <s v="Male"/>
    <n v="24"/>
    <x v="3"/>
    <x v="231"/>
    <x v="2"/>
    <x v="2"/>
    <x v="1"/>
    <n v="803"/>
    <x v="7"/>
  </r>
  <r>
    <n v="1242"/>
    <s v="Maricel Fajardo"/>
    <x v="4"/>
    <s v="Female"/>
    <n v="26"/>
    <x v="3"/>
    <x v="232"/>
    <x v="2"/>
    <x v="2"/>
    <x v="1"/>
    <n v="1264"/>
    <x v="4"/>
  </r>
  <r>
    <n v="1243"/>
    <s v="Joy Sia"/>
    <x v="1"/>
    <s v="Female"/>
    <n v="23"/>
    <x v="3"/>
    <x v="233"/>
    <x v="97"/>
    <x v="6"/>
    <x v="0"/>
    <n v="978"/>
    <x v="7"/>
  </r>
  <r>
    <n v="1244"/>
    <s v="Cristina Mercado Lazo"/>
    <x v="1"/>
    <s v="Other"/>
    <n v="28"/>
    <x v="3"/>
    <x v="234"/>
    <x v="2"/>
    <x v="2"/>
    <x v="1"/>
    <n v="1145"/>
    <x v="4"/>
  </r>
  <r>
    <n v="1245"/>
    <s v="Efren Ang Yap"/>
    <x v="0"/>
    <s v="Other"/>
    <n v="45"/>
    <x v="2"/>
    <x v="235"/>
    <x v="2"/>
    <x v="2"/>
    <x v="1"/>
    <n v="1197"/>
    <x v="4"/>
  </r>
  <r>
    <n v="1246"/>
    <s v="Ronaldo Ramirez Macaraeg"/>
    <x v="0"/>
    <s v="Other"/>
    <n v="51"/>
    <x v="1"/>
    <x v="236"/>
    <x v="2"/>
    <x v="2"/>
    <x v="1"/>
    <n v="1795"/>
    <x v="0"/>
  </r>
  <r>
    <n v="1247"/>
    <s v="Yvonne Diaz Chua"/>
    <x v="5"/>
    <s v="Female"/>
    <n v="56"/>
    <x v="1"/>
    <x v="237"/>
    <x v="2"/>
    <x v="2"/>
    <x v="1"/>
    <n v="714"/>
    <x v="5"/>
  </r>
  <r>
    <n v="1248"/>
    <s v="Gerald Go"/>
    <x v="1"/>
    <s v="Male"/>
    <n v="36"/>
    <x v="0"/>
    <x v="238"/>
    <x v="2"/>
    <x v="2"/>
    <x v="1"/>
    <n v="1061"/>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59"/>
    <x v="3"/>
  </r>
  <r>
    <n v="1252"/>
    <s v="Neil Sy Co"/>
    <x v="0"/>
    <s v="Male"/>
    <n v="22"/>
    <x v="3"/>
    <x v="242"/>
    <x v="2"/>
    <x v="2"/>
    <x v="1"/>
    <n v="938"/>
    <x v="7"/>
  </r>
  <r>
    <n v="1253"/>
    <s v="Eduardo Diaz"/>
    <x v="2"/>
    <s v="Other"/>
    <n v="27"/>
    <x v="3"/>
    <x v="243"/>
    <x v="2"/>
    <x v="2"/>
    <x v="1"/>
    <n v="2712"/>
    <x v="3"/>
  </r>
  <r>
    <n v="1254"/>
    <s v="Renato Garcia Jimenez"/>
    <x v="4"/>
    <s v="Male"/>
    <n v="46"/>
    <x v="2"/>
    <x v="172"/>
    <x v="100"/>
    <x v="6"/>
    <x v="0"/>
    <n v="1753"/>
    <x v="0"/>
  </r>
  <r>
    <n v="1255"/>
    <s v="Arnel Santos Hilario"/>
    <x v="5"/>
    <s v="Other"/>
    <n v="23"/>
    <x v="3"/>
    <x v="47"/>
    <x v="2"/>
    <x v="2"/>
    <x v="1"/>
    <n v="2724"/>
    <x v="3"/>
  </r>
  <r>
    <n v="1256"/>
    <s v="Tess Fernandez"/>
    <x v="5"/>
    <s v="Female"/>
    <n v="48"/>
    <x v="2"/>
    <x v="244"/>
    <x v="2"/>
    <x v="2"/>
    <x v="1"/>
    <n v="465"/>
    <x v="5"/>
  </r>
  <r>
    <n v="1257"/>
    <s v="Celine Cruz Guerrero"/>
    <x v="3"/>
    <s v="Female"/>
    <n v="57"/>
    <x v="1"/>
    <x v="245"/>
    <x v="101"/>
    <x v="1"/>
    <x v="0"/>
    <n v="242"/>
    <x v="1"/>
  </r>
  <r>
    <n v="1258"/>
    <s v="Maria Mercado Villanueva"/>
    <x v="1"/>
    <s v="Other"/>
    <n v="22"/>
    <x v="3"/>
    <x v="246"/>
    <x v="2"/>
    <x v="2"/>
    <x v="1"/>
    <n v="2258"/>
    <x v="6"/>
  </r>
  <r>
    <n v="1259"/>
    <s v="Avery Hernandez"/>
    <x v="0"/>
    <s v="Other"/>
    <n v="55"/>
    <x v="1"/>
    <x v="247"/>
    <x v="2"/>
    <x v="2"/>
    <x v="1"/>
    <n v="1748"/>
    <x v="0"/>
  </r>
  <r>
    <n v="1260"/>
    <s v="Jordan Buenaventura"/>
    <x v="0"/>
    <s v="Other"/>
    <n v="24"/>
    <x v="3"/>
    <x v="248"/>
    <x v="2"/>
    <x v="2"/>
    <x v="1"/>
    <n v="2706"/>
    <x v="3"/>
  </r>
  <r>
    <n v="1261"/>
    <s v="Warren Rivera Viray"/>
    <x v="0"/>
    <s v="Male"/>
    <n v="41"/>
    <x v="2"/>
    <x v="249"/>
    <x v="2"/>
    <x v="2"/>
    <x v="1"/>
    <n v="2985"/>
    <x v="8"/>
  </r>
  <r>
    <n v="1262"/>
    <s v="Aldrin Uy"/>
    <x v="4"/>
    <s v="Male"/>
    <n v="45"/>
    <x v="2"/>
    <x v="250"/>
    <x v="2"/>
    <x v="2"/>
    <x v="1"/>
    <n v="2755"/>
    <x v="3"/>
  </r>
  <r>
    <n v="1263"/>
    <s v="Grace Aguilar Manalo"/>
    <x v="1"/>
    <s v="Female"/>
    <n v="30"/>
    <x v="0"/>
    <x v="251"/>
    <x v="102"/>
    <x v="0"/>
    <x v="0"/>
    <n v="308"/>
    <x v="1"/>
  </r>
  <r>
    <n v="1264"/>
    <s v="Lea Garcia Bondoc"/>
    <x v="1"/>
    <s v="Female"/>
    <n v="48"/>
    <x v="2"/>
    <x v="252"/>
    <x v="2"/>
    <x v="2"/>
    <x v="1"/>
    <n v="1268"/>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79"/>
    <x v="2"/>
  </r>
  <r>
    <n v="1268"/>
    <s v="Nathan Mangubat"/>
    <x v="5"/>
    <s v="Male"/>
    <n v="33"/>
    <x v="0"/>
    <x v="256"/>
    <x v="105"/>
    <x v="0"/>
    <x v="0"/>
    <n v="713"/>
    <x v="5"/>
  </r>
  <r>
    <n v="1269"/>
    <s v="Cristina Castro Ramirez"/>
    <x v="4"/>
    <s v="Other"/>
    <n v="49"/>
    <x v="2"/>
    <x v="257"/>
    <x v="2"/>
    <x v="2"/>
    <x v="1"/>
    <n v="1735"/>
    <x v="0"/>
  </r>
  <r>
    <n v="1270"/>
    <s v="Teresita Tan Dalisay"/>
    <x v="0"/>
    <s v="Female"/>
    <n v="46"/>
    <x v="2"/>
    <x v="258"/>
    <x v="106"/>
    <x v="8"/>
    <x v="0"/>
    <n v="1513"/>
    <x v="0"/>
  </r>
  <r>
    <n v="1271"/>
    <s v="Jose Guevarra"/>
    <x v="4"/>
    <s v="Other"/>
    <n v="33"/>
    <x v="0"/>
    <x v="259"/>
    <x v="2"/>
    <x v="2"/>
    <x v="1"/>
    <n v="681"/>
    <x v="5"/>
  </r>
  <r>
    <n v="1272"/>
    <s v="Jordan Bondoc"/>
    <x v="1"/>
    <s v="Other"/>
    <n v="34"/>
    <x v="0"/>
    <x v="260"/>
    <x v="2"/>
    <x v="2"/>
    <x v="1"/>
    <n v="1311"/>
    <x v="4"/>
  </r>
  <r>
    <n v="1273"/>
    <s v="Gloria Natividad"/>
    <x v="1"/>
    <s v="Female"/>
    <n v="37"/>
    <x v="0"/>
    <x v="261"/>
    <x v="107"/>
    <x v="4"/>
    <x v="0"/>
    <n v="306"/>
    <x v="1"/>
  </r>
  <r>
    <n v="1274"/>
    <s v="Antonio Evangelista"/>
    <x v="0"/>
    <s v="Male"/>
    <n v="53"/>
    <x v="1"/>
    <x v="262"/>
    <x v="2"/>
    <x v="2"/>
    <x v="1"/>
    <n v="273"/>
    <x v="1"/>
  </r>
  <r>
    <n v="1275"/>
    <s v="Ivan Pascual"/>
    <x v="2"/>
    <s v="Male"/>
    <n v="26"/>
    <x v="3"/>
    <x v="206"/>
    <x v="2"/>
    <x v="2"/>
    <x v="1"/>
    <n v="2659"/>
    <x v="3"/>
  </r>
  <r>
    <n v="1276"/>
    <s v="Rosa Domingo Lopez"/>
    <x v="1"/>
    <s v="Other"/>
    <n v="46"/>
    <x v="2"/>
    <x v="247"/>
    <x v="2"/>
    <x v="2"/>
    <x v="1"/>
    <n v="1748"/>
    <x v="0"/>
  </r>
  <r>
    <n v="1277"/>
    <s v="Antonio Go Natividad"/>
    <x v="1"/>
    <s v="Other"/>
    <n v="56"/>
    <x v="1"/>
    <x v="263"/>
    <x v="2"/>
    <x v="2"/>
    <x v="1"/>
    <n v="729"/>
    <x v="5"/>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92"/>
    <x v="6"/>
  </r>
  <r>
    <n v="1282"/>
    <s v="Timothy Castro Tolentino"/>
    <x v="1"/>
    <s v="Male"/>
    <n v="32"/>
    <x v="0"/>
    <x v="268"/>
    <x v="2"/>
    <x v="2"/>
    <x v="1"/>
    <n v="2343"/>
    <x v="6"/>
  </r>
  <r>
    <n v="1283"/>
    <s v="Carlos Gonzales Macapagal"/>
    <x v="4"/>
    <s v="Male"/>
    <n v="21"/>
    <x v="3"/>
    <x v="269"/>
    <x v="111"/>
    <x v="1"/>
    <x v="0"/>
    <n v="125"/>
    <x v="1"/>
  </r>
  <r>
    <n v="1284"/>
    <s v="Ivy Elegado"/>
    <x v="4"/>
    <s v="Female"/>
    <n v="28"/>
    <x v="3"/>
    <x v="270"/>
    <x v="2"/>
    <x v="2"/>
    <x v="1"/>
    <n v="2032"/>
    <x v="2"/>
  </r>
  <r>
    <n v="1285"/>
    <s v="Hernando Figueroa"/>
    <x v="4"/>
    <s v="Male"/>
    <n v="46"/>
    <x v="2"/>
    <x v="271"/>
    <x v="112"/>
    <x v="4"/>
    <x v="0"/>
    <n v="450"/>
    <x v="5"/>
  </r>
  <r>
    <n v="1286"/>
    <s v="Ismael Ignacio"/>
    <x v="4"/>
    <s v="Male"/>
    <n v="53"/>
    <x v="1"/>
    <x v="272"/>
    <x v="113"/>
    <x v="7"/>
    <x v="0"/>
    <n v="120"/>
    <x v="1"/>
  </r>
  <r>
    <n v="1287"/>
    <s v="Ismael Viray"/>
    <x v="0"/>
    <s v="Male"/>
    <n v="29"/>
    <x v="3"/>
    <x v="273"/>
    <x v="2"/>
    <x v="2"/>
    <x v="1"/>
    <n v="752"/>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90"/>
    <x v="7"/>
  </r>
  <r>
    <n v="1292"/>
    <s v="Eduardo Flores Obispo"/>
    <x v="4"/>
    <s v="Male"/>
    <n v="44"/>
    <x v="2"/>
    <x v="278"/>
    <x v="2"/>
    <x v="2"/>
    <x v="1"/>
    <n v="886"/>
    <x v="7"/>
  </r>
  <r>
    <n v="1293"/>
    <s v="Carmen Garcia Natividad"/>
    <x v="3"/>
    <s v="Female"/>
    <n v="36"/>
    <x v="0"/>
    <x v="279"/>
    <x v="2"/>
    <x v="2"/>
    <x v="1"/>
    <n v="1887"/>
    <x v="2"/>
  </r>
  <r>
    <n v="1294"/>
    <s v="Lourdes Sy Hernandez"/>
    <x v="4"/>
    <s v="Other"/>
    <n v="36"/>
    <x v="0"/>
    <x v="280"/>
    <x v="2"/>
    <x v="2"/>
    <x v="1"/>
    <n v="2247"/>
    <x v="6"/>
  </r>
  <r>
    <n v="1295"/>
    <s v="Tess Lopez Manalang"/>
    <x v="1"/>
    <s v="Female"/>
    <n v="34"/>
    <x v="0"/>
    <x v="281"/>
    <x v="2"/>
    <x v="2"/>
    <x v="1"/>
    <n v="2259"/>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70"/>
    <x v="0"/>
  </r>
  <r>
    <n v="1299"/>
    <s v="Casey Dela Torre"/>
    <x v="5"/>
    <s v="Other"/>
    <n v="50"/>
    <x v="1"/>
    <x v="285"/>
    <x v="118"/>
    <x v="4"/>
    <x v="0"/>
    <n v="92"/>
    <x v="1"/>
  </r>
  <r>
    <n v="1300"/>
    <s v="Rosa Navarro Rivera"/>
    <x v="0"/>
    <s v="Other"/>
    <n v="25"/>
    <x v="3"/>
    <x v="286"/>
    <x v="2"/>
    <x v="2"/>
    <x v="1"/>
    <n v="917"/>
    <x v="7"/>
  </r>
  <r>
    <n v="1301"/>
    <s v="Gani Buenaventura"/>
    <x v="2"/>
    <s v="Male"/>
    <n v="57"/>
    <x v="1"/>
    <x v="287"/>
    <x v="2"/>
    <x v="2"/>
    <x v="1"/>
    <n v="2572"/>
    <x v="3"/>
  </r>
  <r>
    <n v="1302"/>
    <s v="Maria Ramos Estrada"/>
    <x v="5"/>
    <s v="Female"/>
    <n v="50"/>
    <x v="1"/>
    <x v="288"/>
    <x v="119"/>
    <x v="6"/>
    <x v="0"/>
    <n v="737"/>
    <x v="7"/>
  </r>
  <r>
    <n v="1303"/>
    <s v="Violeta Lopez Ramos"/>
    <x v="2"/>
    <s v="Female"/>
    <n v="38"/>
    <x v="0"/>
    <x v="47"/>
    <x v="2"/>
    <x v="2"/>
    <x v="1"/>
    <n v="2724"/>
    <x v="3"/>
  </r>
  <r>
    <n v="1304"/>
    <s v="Efren Ocampo Santos"/>
    <x v="1"/>
    <s v="Male"/>
    <n v="35"/>
    <x v="0"/>
    <x v="289"/>
    <x v="2"/>
    <x v="2"/>
    <x v="1"/>
    <n v="1348"/>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7"/>
    <x v="5"/>
  </r>
  <r>
    <n v="1308"/>
    <s v="Ofelia Dela Cruz"/>
    <x v="0"/>
    <s v="Female"/>
    <n v="47"/>
    <x v="2"/>
    <x v="293"/>
    <x v="2"/>
    <x v="2"/>
    <x v="1"/>
    <n v="583"/>
    <x v="5"/>
  </r>
  <r>
    <n v="1309"/>
    <s v="Hope Garcia Ramirez"/>
    <x v="1"/>
    <s v="Female"/>
    <n v="45"/>
    <x v="2"/>
    <x v="294"/>
    <x v="2"/>
    <x v="2"/>
    <x v="1"/>
    <n v="1667"/>
    <x v="0"/>
  </r>
  <r>
    <n v="1310"/>
    <s v="Bong Tan Cueto"/>
    <x v="4"/>
    <s v="Male"/>
    <n v="39"/>
    <x v="0"/>
    <x v="295"/>
    <x v="122"/>
    <x v="0"/>
    <x v="0"/>
    <n v="167"/>
    <x v="1"/>
  </r>
  <r>
    <n v="1311"/>
    <s v="Rosalinda Zamora"/>
    <x v="4"/>
    <s v="Female"/>
    <n v="36"/>
    <x v="0"/>
    <x v="296"/>
    <x v="2"/>
    <x v="2"/>
    <x v="1"/>
    <n v="1079"/>
    <x v="7"/>
  </r>
  <r>
    <n v="1312"/>
    <s v="Avery Salazar"/>
    <x v="1"/>
    <s v="Other"/>
    <n v="21"/>
    <x v="3"/>
    <x v="297"/>
    <x v="2"/>
    <x v="2"/>
    <x v="1"/>
    <n v="1627"/>
    <x v="0"/>
  </r>
  <r>
    <n v="1313"/>
    <s v="Manuel Santos Cruz"/>
    <x v="0"/>
    <s v="Male"/>
    <n v="32"/>
    <x v="0"/>
    <x v="298"/>
    <x v="2"/>
    <x v="2"/>
    <x v="1"/>
    <n v="1177"/>
    <x v="4"/>
  </r>
  <r>
    <n v="1314"/>
    <s v="Kath Tan Camacho"/>
    <x v="4"/>
    <s v="Female"/>
    <n v="24"/>
    <x v="3"/>
    <x v="299"/>
    <x v="2"/>
    <x v="2"/>
    <x v="1"/>
    <n v="1476"/>
    <x v="0"/>
  </r>
  <r>
    <n v="1315"/>
    <s v="Lorenzo Tan Domingo"/>
    <x v="1"/>
    <s v="Male"/>
    <n v="30"/>
    <x v="0"/>
    <x v="300"/>
    <x v="123"/>
    <x v="9"/>
    <x v="0"/>
    <n v="251"/>
    <x v="1"/>
  </r>
  <r>
    <n v="1316"/>
    <s v="Eduardo Sy Torres"/>
    <x v="0"/>
    <s v="Other"/>
    <n v="25"/>
    <x v="3"/>
    <x v="301"/>
    <x v="2"/>
    <x v="2"/>
    <x v="1"/>
    <n v="1836"/>
    <x v="2"/>
  </r>
  <r>
    <n v="1317"/>
    <s v="Hernando Ramos Castro"/>
    <x v="1"/>
    <s v="Male"/>
    <n v="24"/>
    <x v="3"/>
    <x v="302"/>
    <x v="2"/>
    <x v="2"/>
    <x v="1"/>
    <n v="1840"/>
    <x v="2"/>
  </r>
  <r>
    <n v="1318"/>
    <s v="Abigail Aguilar Pascual"/>
    <x v="5"/>
    <s v="Female"/>
    <n v="43"/>
    <x v="2"/>
    <x v="303"/>
    <x v="2"/>
    <x v="2"/>
    <x v="1"/>
    <n v="964"/>
    <x v="7"/>
  </r>
  <r>
    <n v="1319"/>
    <s v="Beatriz Ocampo Elegado"/>
    <x v="5"/>
    <s v="Female"/>
    <n v="22"/>
    <x v="3"/>
    <x v="304"/>
    <x v="2"/>
    <x v="2"/>
    <x v="1"/>
    <n v="1734"/>
    <x v="0"/>
  </r>
  <r>
    <n v="1320"/>
    <s v="Gregorio Mendoza Ignacio"/>
    <x v="0"/>
    <s v="Male"/>
    <n v="24"/>
    <x v="3"/>
    <x v="305"/>
    <x v="2"/>
    <x v="2"/>
    <x v="1"/>
    <n v="1060"/>
    <x v="7"/>
  </r>
  <r>
    <n v="1321"/>
    <s v="Juan Garcia"/>
    <x v="2"/>
    <s v="Male"/>
    <n v="28"/>
    <x v="3"/>
    <x v="306"/>
    <x v="2"/>
    <x v="2"/>
    <x v="1"/>
    <n v="2171"/>
    <x v="2"/>
  </r>
  <r>
    <n v="1322"/>
    <s v="Jacqueline Lim Ocampo"/>
    <x v="1"/>
    <s v="Female"/>
    <n v="44"/>
    <x v="2"/>
    <x v="307"/>
    <x v="2"/>
    <x v="2"/>
    <x v="1"/>
    <n v="1538"/>
    <x v="0"/>
  </r>
  <r>
    <n v="1323"/>
    <s v="Patricia Bautista Castro"/>
    <x v="1"/>
    <s v="Female"/>
    <n v="41"/>
    <x v="2"/>
    <x v="308"/>
    <x v="2"/>
    <x v="2"/>
    <x v="1"/>
    <n v="1995"/>
    <x v="2"/>
  </r>
  <r>
    <n v="1324"/>
    <s v="Manuel Go Dalisay"/>
    <x v="1"/>
    <s v="Other"/>
    <n v="23"/>
    <x v="3"/>
    <x v="309"/>
    <x v="124"/>
    <x v="4"/>
    <x v="0"/>
    <n v="1042"/>
    <x v="7"/>
  </r>
  <r>
    <n v="1325"/>
    <s v="Teresita Ang Suarez"/>
    <x v="1"/>
    <s v="Female"/>
    <n v="57"/>
    <x v="1"/>
    <x v="78"/>
    <x v="2"/>
    <x v="2"/>
    <x v="1"/>
    <n v="1862"/>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801"/>
    <x v="3"/>
  </r>
  <r>
    <n v="1332"/>
    <s v="Lorenzo Domingo Natividad"/>
    <x v="1"/>
    <s v="Male"/>
    <n v="47"/>
    <x v="2"/>
    <x v="315"/>
    <x v="2"/>
    <x v="2"/>
    <x v="1"/>
    <n v="2612"/>
    <x v="3"/>
  </r>
  <r>
    <n v="1333"/>
    <s v="Elena Rivera"/>
    <x v="2"/>
    <s v="Female"/>
    <n v="40"/>
    <x v="2"/>
    <x v="269"/>
    <x v="2"/>
    <x v="2"/>
    <x v="1"/>
    <n v="220"/>
    <x v="1"/>
  </r>
  <r>
    <n v="1334"/>
    <s v="Isabel Gonzales Figueroa"/>
    <x v="4"/>
    <s v="Female"/>
    <n v="36"/>
    <x v="0"/>
    <x v="316"/>
    <x v="2"/>
    <x v="2"/>
    <x v="1"/>
    <n v="1649"/>
    <x v="0"/>
  </r>
  <r>
    <n v="1335"/>
    <s v="Renato Ramos Fernandez"/>
    <x v="1"/>
    <s v="Male"/>
    <n v="49"/>
    <x v="2"/>
    <x v="317"/>
    <x v="2"/>
    <x v="2"/>
    <x v="1"/>
    <n v="829"/>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39"/>
    <x v="0"/>
  </r>
  <r>
    <n v="1339"/>
    <s v="Renato Lim Bayani"/>
    <x v="4"/>
    <s v="Male"/>
    <n v="30"/>
    <x v="0"/>
    <x v="321"/>
    <x v="2"/>
    <x v="2"/>
    <x v="1"/>
    <n v="2965"/>
    <x v="8"/>
  </r>
  <r>
    <n v="1340"/>
    <s v="Rafael Vega"/>
    <x v="2"/>
    <s v="Male"/>
    <n v="26"/>
    <x v="3"/>
    <x v="195"/>
    <x v="2"/>
    <x v="2"/>
    <x v="1"/>
    <n v="1961"/>
    <x v="2"/>
  </r>
  <r>
    <n v="1341"/>
    <s v="Mylene Ang Umali"/>
    <x v="2"/>
    <s v="Female"/>
    <n v="55"/>
    <x v="1"/>
    <x v="322"/>
    <x v="2"/>
    <x v="2"/>
    <x v="1"/>
    <n v="3027"/>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5"/>
    <x v="6"/>
  </r>
  <r>
    <n v="1346"/>
    <s v="Maria Mangubat"/>
    <x v="1"/>
    <s v="Female"/>
    <n v="35"/>
    <x v="0"/>
    <x v="327"/>
    <x v="2"/>
    <x v="2"/>
    <x v="1"/>
    <n v="3025"/>
    <x v="8"/>
  </r>
  <r>
    <n v="1347"/>
    <s v="Erlinda Gonzales"/>
    <x v="1"/>
    <s v="Female"/>
    <n v="32"/>
    <x v="0"/>
    <x v="328"/>
    <x v="134"/>
    <x v="8"/>
    <x v="0"/>
    <n v="392"/>
    <x v="5"/>
  </r>
  <r>
    <n v="1348"/>
    <s v="Maria Soriano Ong"/>
    <x v="2"/>
    <s v="Other"/>
    <n v="44"/>
    <x v="2"/>
    <x v="329"/>
    <x v="2"/>
    <x v="2"/>
    <x v="1"/>
    <n v="221"/>
    <x v="1"/>
  </r>
  <r>
    <n v="1349"/>
    <s v="Rodel Soriano"/>
    <x v="4"/>
    <s v="Other"/>
    <n v="48"/>
    <x v="2"/>
    <x v="330"/>
    <x v="2"/>
    <x v="2"/>
    <x v="1"/>
    <n v="488"/>
    <x v="5"/>
  </r>
  <r>
    <n v="1350"/>
    <s v="Jose Pascual Panganiban"/>
    <x v="0"/>
    <s v="Other"/>
    <n v="43"/>
    <x v="2"/>
    <x v="331"/>
    <x v="2"/>
    <x v="2"/>
    <x v="1"/>
    <n v="2192"/>
    <x v="6"/>
  </r>
  <r>
    <n v="1351"/>
    <s v="Maricel Navarro Ocampo"/>
    <x v="1"/>
    <s v="Other"/>
    <n v="57"/>
    <x v="1"/>
    <x v="332"/>
    <x v="2"/>
    <x v="2"/>
    <x v="1"/>
    <n v="1503"/>
    <x v="0"/>
  </r>
  <r>
    <n v="1352"/>
    <s v="Isabel Ocampo Mercado"/>
    <x v="3"/>
    <s v="Other"/>
    <n v="35"/>
    <x v="0"/>
    <x v="333"/>
    <x v="2"/>
    <x v="2"/>
    <x v="1"/>
    <n v="487"/>
    <x v="5"/>
  </r>
  <r>
    <n v="1353"/>
    <s v="Casey Lazo"/>
    <x v="1"/>
    <s v="Other"/>
    <n v="31"/>
    <x v="0"/>
    <x v="334"/>
    <x v="2"/>
    <x v="2"/>
    <x v="1"/>
    <n v="501"/>
    <x v="5"/>
  </r>
  <r>
    <n v="1354"/>
    <s v="Severino Lopez"/>
    <x v="5"/>
    <s v="Male"/>
    <n v="21"/>
    <x v="3"/>
    <x v="335"/>
    <x v="135"/>
    <x v="0"/>
    <x v="0"/>
    <n v="1509"/>
    <x v="0"/>
  </r>
  <r>
    <n v="1355"/>
    <s v="Ian Rivera Panganiban"/>
    <x v="1"/>
    <s v="Male"/>
    <n v="47"/>
    <x v="2"/>
    <x v="336"/>
    <x v="2"/>
    <x v="2"/>
    <x v="1"/>
    <n v="2425"/>
    <x v="6"/>
  </r>
  <r>
    <n v="1356"/>
    <s v="Nicanor Cruz Aguilar"/>
    <x v="1"/>
    <s v="Male"/>
    <n v="57"/>
    <x v="1"/>
    <x v="337"/>
    <x v="2"/>
    <x v="2"/>
    <x v="1"/>
    <n v="440"/>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3"/>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92"/>
    <x v="4"/>
  </r>
  <r>
    <n v="1365"/>
    <s v="Mae Macapagal"/>
    <x v="0"/>
    <s v="Female"/>
    <n v="23"/>
    <x v="3"/>
    <x v="345"/>
    <x v="2"/>
    <x v="2"/>
    <x v="1"/>
    <n v="1050"/>
    <x v="7"/>
  </r>
  <r>
    <n v="1366"/>
    <s v="Imelda Rivera"/>
    <x v="0"/>
    <s v="Female"/>
    <n v="49"/>
    <x v="2"/>
    <x v="346"/>
    <x v="2"/>
    <x v="2"/>
    <x v="1"/>
    <n v="2398"/>
    <x v="6"/>
  </r>
  <r>
    <n v="1367"/>
    <s v="Diosdado Ocampo Perez"/>
    <x v="1"/>
    <s v="Male"/>
    <n v="48"/>
    <x v="2"/>
    <x v="347"/>
    <x v="2"/>
    <x v="2"/>
    <x v="1"/>
    <n v="2279"/>
    <x v="6"/>
  </r>
  <r>
    <n v="1368"/>
    <s v="Larry Roque"/>
    <x v="1"/>
    <s v="Male"/>
    <n v="56"/>
    <x v="1"/>
    <x v="348"/>
    <x v="2"/>
    <x v="2"/>
    <x v="1"/>
    <n v="1771"/>
    <x v="0"/>
  </r>
  <r>
    <n v="1369"/>
    <s v="Morgan Mendoza Camacho"/>
    <x v="1"/>
    <s v="Other"/>
    <n v="58"/>
    <x v="1"/>
    <x v="349"/>
    <x v="2"/>
    <x v="2"/>
    <x v="1"/>
    <n v="966"/>
    <x v="7"/>
  </r>
  <r>
    <n v="1370"/>
    <s v="Harold Ang Bondoc"/>
    <x v="3"/>
    <s v="Male"/>
    <n v="27"/>
    <x v="3"/>
    <x v="350"/>
    <x v="2"/>
    <x v="2"/>
    <x v="1"/>
    <n v="1935"/>
    <x v="2"/>
  </r>
  <r>
    <n v="1371"/>
    <s v="Bong Guevarra"/>
    <x v="0"/>
    <s v="Male"/>
    <n v="32"/>
    <x v="0"/>
    <x v="351"/>
    <x v="2"/>
    <x v="2"/>
    <x v="1"/>
    <n v="1978"/>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41"/>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7"/>
    <x v="6"/>
  </r>
  <r>
    <n v="1379"/>
    <s v="Ofelia Tan"/>
    <x v="1"/>
    <s v="Female"/>
    <n v="24"/>
    <x v="3"/>
    <x v="358"/>
    <x v="2"/>
    <x v="2"/>
    <x v="1"/>
    <n v="2439"/>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4"/>
    <x v="2"/>
  </r>
  <r>
    <n v="1384"/>
    <s v="Manuel Mercado Diaz"/>
    <x v="5"/>
    <s v="Other"/>
    <n v="37"/>
    <x v="0"/>
    <x v="363"/>
    <x v="2"/>
    <x v="2"/>
    <x v="1"/>
    <n v="419"/>
    <x v="5"/>
  </r>
  <r>
    <n v="1385"/>
    <s v="Isabel Lim Chua"/>
    <x v="2"/>
    <s v="Other"/>
    <n v="46"/>
    <x v="2"/>
    <x v="364"/>
    <x v="150"/>
    <x v="1"/>
    <x v="0"/>
    <n v="161"/>
    <x v="1"/>
  </r>
  <r>
    <n v="1386"/>
    <s v="Miguel Buenaventura"/>
    <x v="4"/>
    <s v="Other"/>
    <n v="58"/>
    <x v="1"/>
    <x v="365"/>
    <x v="2"/>
    <x v="2"/>
    <x v="1"/>
    <n v="206"/>
    <x v="1"/>
  </r>
  <r>
    <n v="1387"/>
    <s v="Roy Chan Navarro"/>
    <x v="1"/>
    <s v="Male"/>
    <n v="51"/>
    <x v="1"/>
    <x v="366"/>
    <x v="151"/>
    <x v="4"/>
    <x v="0"/>
    <n v="166"/>
    <x v="1"/>
  </r>
  <r>
    <n v="1388"/>
    <s v="Joy Vega Corpuz"/>
    <x v="1"/>
    <s v="Female"/>
    <n v="56"/>
    <x v="1"/>
    <x v="367"/>
    <x v="2"/>
    <x v="2"/>
    <x v="1"/>
    <n v="2357"/>
    <x v="6"/>
  </r>
  <r>
    <n v="1389"/>
    <s v="Elena Mendoza"/>
    <x v="1"/>
    <s v="Other"/>
    <n v="53"/>
    <x v="1"/>
    <x v="368"/>
    <x v="152"/>
    <x v="7"/>
    <x v="0"/>
    <n v="1289"/>
    <x v="4"/>
  </r>
  <r>
    <n v="1390"/>
    <s v="Pilar Castro"/>
    <x v="0"/>
    <s v="Other"/>
    <n v="25"/>
    <x v="3"/>
    <x v="369"/>
    <x v="2"/>
    <x v="2"/>
    <x v="1"/>
    <n v="1172"/>
    <x v="4"/>
  </r>
  <r>
    <n v="1391"/>
    <s v="Tess Gonzales Roque"/>
    <x v="4"/>
    <s v="Female"/>
    <n v="24"/>
    <x v="3"/>
    <x v="264"/>
    <x v="153"/>
    <x v="6"/>
    <x v="0"/>
    <n v="910"/>
    <x v="7"/>
  </r>
  <r>
    <n v="1392"/>
    <s v="Juan Lopez Natividad"/>
    <x v="5"/>
    <s v="Male"/>
    <n v="32"/>
    <x v="0"/>
    <x v="370"/>
    <x v="2"/>
    <x v="2"/>
    <x v="1"/>
    <n v="1823"/>
    <x v="0"/>
  </r>
  <r>
    <n v="1393"/>
    <s v="Aileen Chan Vergara"/>
    <x v="0"/>
    <s v="Female"/>
    <n v="26"/>
    <x v="3"/>
    <x v="371"/>
    <x v="2"/>
    <x v="2"/>
    <x v="1"/>
    <n v="2576"/>
    <x v="3"/>
  </r>
  <r>
    <n v="1394"/>
    <s v="Iris Santos Elegado"/>
    <x v="4"/>
    <s v="Female"/>
    <n v="33"/>
    <x v="0"/>
    <x v="372"/>
    <x v="2"/>
    <x v="2"/>
    <x v="1"/>
    <n v="1578"/>
    <x v="0"/>
  </r>
  <r>
    <n v="1395"/>
    <s v="Grace Cruz Pascual"/>
    <x v="0"/>
    <s v="Female"/>
    <n v="43"/>
    <x v="2"/>
    <x v="373"/>
    <x v="154"/>
    <x v="9"/>
    <x v="0"/>
    <n v="875"/>
    <x v="7"/>
  </r>
  <r>
    <n v="1396"/>
    <s v="Bea Guevarra"/>
    <x v="4"/>
    <s v="Female"/>
    <n v="54"/>
    <x v="1"/>
    <x v="374"/>
    <x v="2"/>
    <x v="2"/>
    <x v="1"/>
    <n v="664"/>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29"/>
    <x v="5"/>
  </r>
  <r>
    <n v="1400"/>
    <s v="Jose Mendoza Sia"/>
    <x v="4"/>
    <s v="Male"/>
    <n v="51"/>
    <x v="1"/>
    <x v="6"/>
    <x v="157"/>
    <x v="1"/>
    <x v="0"/>
    <n v="178"/>
    <x v="1"/>
  </r>
  <r>
    <n v="1401"/>
    <s v="Cristina Cueto"/>
    <x v="5"/>
    <s v="Female"/>
    <n v="29"/>
    <x v="3"/>
    <x v="377"/>
    <x v="2"/>
    <x v="2"/>
    <x v="1"/>
    <n v="1391"/>
    <x v="4"/>
  </r>
  <r>
    <n v="1402"/>
    <s v="Mae Lim Vega"/>
    <x v="1"/>
    <s v="Female"/>
    <n v="27"/>
    <x v="3"/>
    <x v="378"/>
    <x v="158"/>
    <x v="1"/>
    <x v="0"/>
    <n v="294"/>
    <x v="1"/>
  </r>
  <r>
    <n v="1403"/>
    <s v="Hazel Santos Mangubat"/>
    <x v="4"/>
    <s v="Female"/>
    <n v="52"/>
    <x v="1"/>
    <x v="379"/>
    <x v="2"/>
    <x v="2"/>
    <x v="1"/>
    <n v="2256"/>
    <x v="6"/>
  </r>
  <r>
    <n v="1404"/>
    <s v="Casey Mendoza Cueto"/>
    <x v="5"/>
    <s v="Other"/>
    <n v="57"/>
    <x v="1"/>
    <x v="380"/>
    <x v="2"/>
    <x v="2"/>
    <x v="1"/>
    <n v="366"/>
    <x v="5"/>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9"/>
    <x v="4"/>
  </r>
  <r>
    <n v="1409"/>
    <s v="Elena Lozano"/>
    <x v="3"/>
    <s v="Other"/>
    <n v="27"/>
    <x v="3"/>
    <x v="385"/>
    <x v="2"/>
    <x v="2"/>
    <x v="1"/>
    <n v="1402"/>
    <x v="4"/>
  </r>
  <r>
    <n v="1410"/>
    <s v="Bernardo Umali"/>
    <x v="1"/>
    <s v="Male"/>
    <n v="43"/>
    <x v="2"/>
    <x v="386"/>
    <x v="162"/>
    <x v="4"/>
    <x v="0"/>
    <n v="440"/>
    <x v="5"/>
  </r>
  <r>
    <n v="1411"/>
    <s v="Mark Ramirez Del Rosario"/>
    <x v="1"/>
    <s v="Male"/>
    <n v="23"/>
    <x v="3"/>
    <x v="387"/>
    <x v="163"/>
    <x v="0"/>
    <x v="0"/>
    <n v="1377"/>
    <x v="4"/>
  </r>
  <r>
    <n v="1412"/>
    <s v="Efren Lacson"/>
    <x v="3"/>
    <s v="Male"/>
    <n v="42"/>
    <x v="2"/>
    <x v="388"/>
    <x v="2"/>
    <x v="2"/>
    <x v="1"/>
    <n v="980"/>
    <x v="7"/>
  </r>
  <r>
    <n v="1413"/>
    <s v="Roy Lopez Solis"/>
    <x v="4"/>
    <s v="Male"/>
    <n v="45"/>
    <x v="2"/>
    <x v="389"/>
    <x v="2"/>
    <x v="2"/>
    <x v="1"/>
    <n v="2498"/>
    <x v="6"/>
  </r>
  <r>
    <n v="1414"/>
    <s v="Vicente Rivera Mendoza"/>
    <x v="0"/>
    <s v="Male"/>
    <n v="60"/>
    <x v="4"/>
    <x v="390"/>
    <x v="85"/>
    <x v="7"/>
    <x v="0"/>
    <n v="2103"/>
    <x v="2"/>
  </r>
  <r>
    <n v="1415"/>
    <s v="Daisy Dela Cruz"/>
    <x v="4"/>
    <s v="Female"/>
    <n v="50"/>
    <x v="1"/>
    <x v="157"/>
    <x v="2"/>
    <x v="2"/>
    <x v="1"/>
    <n v="1287"/>
    <x v="4"/>
  </r>
  <r>
    <n v="1416"/>
    <s v="Sue Garcia Hilario"/>
    <x v="4"/>
    <s v="Female"/>
    <n v="52"/>
    <x v="1"/>
    <x v="391"/>
    <x v="164"/>
    <x v="6"/>
    <x v="0"/>
    <n v="296"/>
    <x v="1"/>
  </r>
  <r>
    <n v="1417"/>
    <s v="Carmen Bautista Buenaventura"/>
    <x v="2"/>
    <s v="Other"/>
    <n v="40"/>
    <x v="2"/>
    <x v="392"/>
    <x v="2"/>
    <x v="2"/>
    <x v="1"/>
    <n v="1024"/>
    <x v="7"/>
  </r>
  <r>
    <n v="1418"/>
    <s v="Cristina Tuazon"/>
    <x v="2"/>
    <s v="Other"/>
    <n v="42"/>
    <x v="2"/>
    <x v="393"/>
    <x v="2"/>
    <x v="2"/>
    <x v="1"/>
    <n v="812"/>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6"/>
    <x v="3"/>
  </r>
  <r>
    <n v="1422"/>
    <s v="Hazel Cueto"/>
    <x v="3"/>
    <s v="Female"/>
    <n v="24"/>
    <x v="3"/>
    <x v="396"/>
    <x v="2"/>
    <x v="2"/>
    <x v="1"/>
    <n v="840"/>
    <x v="7"/>
  </r>
  <r>
    <n v="1423"/>
    <s v="Arnel Camacho"/>
    <x v="3"/>
    <s v="Other"/>
    <n v="32"/>
    <x v="0"/>
    <x v="397"/>
    <x v="167"/>
    <x v="9"/>
    <x v="0"/>
    <n v="1408"/>
    <x v="4"/>
  </r>
  <r>
    <n v="1424"/>
    <s v="Carlos Natividad"/>
    <x v="3"/>
    <s v="Other"/>
    <n v="38"/>
    <x v="0"/>
    <x v="398"/>
    <x v="2"/>
    <x v="2"/>
    <x v="1"/>
    <n v="1477"/>
    <x v="0"/>
  </r>
  <r>
    <n v="1425"/>
    <s v="Pete Macaraeg"/>
    <x v="1"/>
    <s v="Male"/>
    <n v="53"/>
    <x v="1"/>
    <x v="399"/>
    <x v="2"/>
    <x v="2"/>
    <x v="1"/>
    <n v="1882"/>
    <x v="2"/>
  </r>
  <r>
    <n v="1426"/>
    <s v="Aldrin Ramos Guevarra"/>
    <x v="3"/>
    <s v="Male"/>
    <n v="33"/>
    <x v="0"/>
    <x v="400"/>
    <x v="2"/>
    <x v="2"/>
    <x v="1"/>
    <n v="2248"/>
    <x v="6"/>
  </r>
  <r>
    <n v="1427"/>
    <s v="Elmer Vega Lazo"/>
    <x v="3"/>
    <s v="Male"/>
    <n v="32"/>
    <x v="0"/>
    <x v="401"/>
    <x v="2"/>
    <x v="2"/>
    <x v="1"/>
    <n v="1043"/>
    <x v="7"/>
  </r>
  <r>
    <n v="1428"/>
    <s v="Neil Co"/>
    <x v="0"/>
    <s v="Male"/>
    <n v="47"/>
    <x v="2"/>
    <x v="402"/>
    <x v="2"/>
    <x v="2"/>
    <x v="1"/>
    <n v="345"/>
    <x v="1"/>
  </r>
  <r>
    <n v="1429"/>
    <s v="Isabel Aguilar Enriquez"/>
    <x v="4"/>
    <s v="Female"/>
    <n v="27"/>
    <x v="3"/>
    <x v="403"/>
    <x v="2"/>
    <x v="2"/>
    <x v="1"/>
    <n v="3003"/>
    <x v="8"/>
  </r>
  <r>
    <n v="1430"/>
    <s v="Estrella Santiago"/>
    <x v="5"/>
    <s v="Female"/>
    <n v="39"/>
    <x v="0"/>
    <x v="404"/>
    <x v="168"/>
    <x v="1"/>
    <x v="0"/>
    <n v="105"/>
    <x v="1"/>
  </r>
  <r>
    <n v="1431"/>
    <s v="Rowena Tan"/>
    <x v="1"/>
    <s v="Other"/>
    <n v="27"/>
    <x v="3"/>
    <x v="293"/>
    <x v="2"/>
    <x v="2"/>
    <x v="1"/>
    <n v="583"/>
    <x v="5"/>
  </r>
  <r>
    <n v="1432"/>
    <s v="Rachel Navarro Salazar"/>
    <x v="0"/>
    <s v="Female"/>
    <n v="39"/>
    <x v="0"/>
    <x v="405"/>
    <x v="2"/>
    <x v="2"/>
    <x v="1"/>
    <n v="268"/>
    <x v="1"/>
  </r>
  <r>
    <n v="1433"/>
    <s v="Cherry Tan"/>
    <x v="3"/>
    <s v="Female"/>
    <n v="37"/>
    <x v="0"/>
    <x v="406"/>
    <x v="2"/>
    <x v="2"/>
    <x v="1"/>
    <n v="2275"/>
    <x v="6"/>
  </r>
  <r>
    <n v="1434"/>
    <s v="Kristoffer Obispo"/>
    <x v="5"/>
    <s v="Male"/>
    <n v="58"/>
    <x v="1"/>
    <x v="407"/>
    <x v="2"/>
    <x v="2"/>
    <x v="1"/>
    <n v="868"/>
    <x v="7"/>
  </r>
  <r>
    <n v="1435"/>
    <s v="Lea Sy Castro"/>
    <x v="4"/>
    <s v="Female"/>
    <n v="25"/>
    <x v="3"/>
    <x v="408"/>
    <x v="2"/>
    <x v="2"/>
    <x v="1"/>
    <n v="2341"/>
    <x v="6"/>
  </r>
  <r>
    <n v="1436"/>
    <s v="Maria Fernandez Mangubat"/>
    <x v="4"/>
    <s v="Female"/>
    <n v="31"/>
    <x v="0"/>
    <x v="237"/>
    <x v="2"/>
    <x v="2"/>
    <x v="1"/>
    <n v="714"/>
    <x v="5"/>
  </r>
  <r>
    <n v="1437"/>
    <s v="Manuel Viray"/>
    <x v="1"/>
    <s v="Other"/>
    <n v="24"/>
    <x v="3"/>
    <x v="409"/>
    <x v="2"/>
    <x v="2"/>
    <x v="1"/>
    <n v="545"/>
    <x v="5"/>
  </r>
  <r>
    <n v="1438"/>
    <s v="Kath Tan Aguilar"/>
    <x v="0"/>
    <s v="Female"/>
    <n v="41"/>
    <x v="2"/>
    <x v="217"/>
    <x v="169"/>
    <x v="9"/>
    <x v="0"/>
    <n v="278"/>
    <x v="1"/>
  </r>
  <r>
    <n v="1439"/>
    <s v="Sue Vega Corpuz"/>
    <x v="1"/>
    <s v="Female"/>
    <n v="65"/>
    <x v="4"/>
    <x v="410"/>
    <x v="147"/>
    <x v="7"/>
    <x v="0"/>
    <n v="274"/>
    <x v="1"/>
  </r>
  <r>
    <n v="1440"/>
    <s v="Rodel Panganiban"/>
    <x v="4"/>
    <s v="Other"/>
    <n v="36"/>
    <x v="0"/>
    <x v="411"/>
    <x v="2"/>
    <x v="2"/>
    <x v="1"/>
    <n v="2943"/>
    <x v="8"/>
  </r>
  <r>
    <n v="1441"/>
    <s v="Kevin Cueto"/>
    <x v="3"/>
    <s v="Male"/>
    <n v="55"/>
    <x v="1"/>
    <x v="412"/>
    <x v="170"/>
    <x v="4"/>
    <x v="0"/>
    <n v="1148"/>
    <x v="4"/>
  </r>
  <r>
    <n v="1442"/>
    <s v="Lourdes Pascual"/>
    <x v="4"/>
    <s v="Female"/>
    <n v="33"/>
    <x v="0"/>
    <x v="413"/>
    <x v="2"/>
    <x v="2"/>
    <x v="1"/>
    <n v="1794"/>
    <x v="0"/>
  </r>
  <r>
    <n v="1443"/>
    <s v="Marcelo Mendoza Guevarra"/>
    <x v="5"/>
    <s v="Male"/>
    <n v="25"/>
    <x v="3"/>
    <x v="414"/>
    <x v="2"/>
    <x v="2"/>
    <x v="1"/>
    <n v="2243"/>
    <x v="6"/>
  </r>
  <r>
    <n v="1444"/>
    <s v="Jordan Del Rosario"/>
    <x v="1"/>
    <s v="Other"/>
    <n v="48"/>
    <x v="2"/>
    <x v="415"/>
    <x v="2"/>
    <x v="2"/>
    <x v="1"/>
    <n v="458"/>
    <x v="5"/>
  </r>
  <r>
    <n v="1445"/>
    <s v="Rowena Ramirez Villanueva"/>
    <x v="1"/>
    <s v="Other"/>
    <n v="23"/>
    <x v="3"/>
    <x v="340"/>
    <x v="171"/>
    <x v="4"/>
    <x v="0"/>
    <n v="819"/>
    <x v="7"/>
  </r>
  <r>
    <n v="1446"/>
    <s v="Dennis Torres Cruz"/>
    <x v="3"/>
    <s v="Male"/>
    <n v="49"/>
    <x v="2"/>
    <x v="416"/>
    <x v="2"/>
    <x v="2"/>
    <x v="1"/>
    <n v="525"/>
    <x v="5"/>
  </r>
  <r>
    <n v="1447"/>
    <s v="Jimmy Soriano Lopez"/>
    <x v="0"/>
    <s v="Male"/>
    <n v="25"/>
    <x v="3"/>
    <x v="417"/>
    <x v="172"/>
    <x v="6"/>
    <x v="0"/>
    <n v="164"/>
    <x v="1"/>
  </r>
  <r>
    <n v="1448"/>
    <s v="Luisa Ramirez Tuazon"/>
    <x v="0"/>
    <s v="Female"/>
    <n v="49"/>
    <x v="2"/>
    <x v="418"/>
    <x v="2"/>
    <x v="2"/>
    <x v="1"/>
    <n v="1544"/>
    <x v="0"/>
  </r>
  <r>
    <n v="1449"/>
    <s v="Diosdado Sia"/>
    <x v="1"/>
    <s v="Male"/>
    <n v="55"/>
    <x v="1"/>
    <x v="419"/>
    <x v="2"/>
    <x v="2"/>
    <x v="1"/>
    <n v="1898"/>
    <x v="2"/>
  </r>
  <r>
    <n v="1450"/>
    <s v="Rowena Santos Mercado"/>
    <x v="3"/>
    <s v="Other"/>
    <n v="44"/>
    <x v="2"/>
    <x v="420"/>
    <x v="2"/>
    <x v="2"/>
    <x v="1"/>
    <n v="3061"/>
    <x v="8"/>
  </r>
  <r>
    <n v="1451"/>
    <s v="Kim Ramirez Mercado"/>
    <x v="0"/>
    <s v="Male"/>
    <n v="56"/>
    <x v="1"/>
    <x v="421"/>
    <x v="173"/>
    <x v="0"/>
    <x v="0"/>
    <n v="1498"/>
    <x v="0"/>
  </r>
  <r>
    <n v="1452"/>
    <s v="Tess Mendoza"/>
    <x v="0"/>
    <s v="Female"/>
    <n v="28"/>
    <x v="3"/>
    <x v="422"/>
    <x v="2"/>
    <x v="2"/>
    <x v="1"/>
    <n v="2364"/>
    <x v="6"/>
  </r>
  <r>
    <n v="1453"/>
    <s v="Carlos Mendoza Enriquez"/>
    <x v="3"/>
    <s v="Other"/>
    <n v="50"/>
    <x v="1"/>
    <x v="423"/>
    <x v="2"/>
    <x v="2"/>
    <x v="1"/>
    <n v="466"/>
    <x v="5"/>
  </r>
  <r>
    <n v="1454"/>
    <s v="Carlos Uy Diaz"/>
    <x v="1"/>
    <s v="Male"/>
    <n v="59"/>
    <x v="1"/>
    <x v="424"/>
    <x v="174"/>
    <x v="7"/>
    <x v="0"/>
    <n v="1432"/>
    <x v="4"/>
  </r>
  <r>
    <n v="1455"/>
    <s v="Jerome Macaraeg"/>
    <x v="4"/>
    <s v="Male"/>
    <n v="58"/>
    <x v="1"/>
    <x v="425"/>
    <x v="2"/>
    <x v="2"/>
    <x v="1"/>
    <n v="2482"/>
    <x v="6"/>
  </r>
  <r>
    <n v="1456"/>
    <s v="Nina Ramirez"/>
    <x v="1"/>
    <s v="Female"/>
    <n v="35"/>
    <x v="0"/>
    <x v="426"/>
    <x v="2"/>
    <x v="2"/>
    <x v="1"/>
    <n v="482"/>
    <x v="5"/>
  </r>
  <r>
    <n v="1457"/>
    <s v="Gani Garcia Hilario"/>
    <x v="4"/>
    <s v="Male"/>
    <n v="49"/>
    <x v="2"/>
    <x v="427"/>
    <x v="2"/>
    <x v="2"/>
    <x v="1"/>
    <n v="1637"/>
    <x v="0"/>
  </r>
  <r>
    <n v="1458"/>
    <s v="Jordan Reyes Dela Torre"/>
    <x v="2"/>
    <s v="Other"/>
    <n v="29"/>
    <x v="3"/>
    <x v="428"/>
    <x v="175"/>
    <x v="4"/>
    <x v="0"/>
    <n v="841"/>
    <x v="7"/>
  </r>
  <r>
    <n v="1459"/>
    <s v="Xander Rivera"/>
    <x v="2"/>
    <s v="Male"/>
    <n v="58"/>
    <x v="1"/>
    <x v="429"/>
    <x v="2"/>
    <x v="2"/>
    <x v="1"/>
    <n v="735"/>
    <x v="7"/>
  </r>
  <r>
    <n v="1460"/>
    <s v="Ernesto Pascual Evangelista"/>
    <x v="0"/>
    <s v="Male"/>
    <n v="55"/>
    <x v="1"/>
    <x v="430"/>
    <x v="2"/>
    <x v="2"/>
    <x v="1"/>
    <n v="1173"/>
    <x v="4"/>
  </r>
  <r>
    <n v="1461"/>
    <s v="Gregorio Lopez Cueto"/>
    <x v="1"/>
    <s v="Male"/>
    <n v="26"/>
    <x v="3"/>
    <x v="431"/>
    <x v="176"/>
    <x v="8"/>
    <x v="0"/>
    <n v="111"/>
    <x v="1"/>
  </r>
  <r>
    <n v="1462"/>
    <s v="Jamie Tan"/>
    <x v="1"/>
    <s v="Other"/>
    <n v="30"/>
    <x v="0"/>
    <x v="432"/>
    <x v="2"/>
    <x v="2"/>
    <x v="1"/>
    <n v="1126"/>
    <x v="4"/>
  </r>
  <r>
    <n v="1463"/>
    <s v="Mae Go Evangelista"/>
    <x v="1"/>
    <s v="Female"/>
    <n v="35"/>
    <x v="0"/>
    <x v="433"/>
    <x v="2"/>
    <x v="2"/>
    <x v="1"/>
    <n v="2931"/>
    <x v="8"/>
  </r>
  <r>
    <n v="1464"/>
    <s v="Mae Zulueta"/>
    <x v="2"/>
    <s v="Female"/>
    <n v="41"/>
    <x v="2"/>
    <x v="291"/>
    <x v="2"/>
    <x v="2"/>
    <x v="1"/>
    <n v="2684"/>
    <x v="3"/>
  </r>
  <r>
    <n v="1465"/>
    <s v="Gloria Ramirez Delmendo"/>
    <x v="2"/>
    <s v="Female"/>
    <n v="55"/>
    <x v="1"/>
    <x v="434"/>
    <x v="177"/>
    <x v="6"/>
    <x v="0"/>
    <n v="477"/>
    <x v="5"/>
  </r>
  <r>
    <n v="1466"/>
    <s v="Bong Ramos Santos"/>
    <x v="0"/>
    <s v="Male"/>
    <n v="43"/>
    <x v="2"/>
    <x v="435"/>
    <x v="2"/>
    <x v="2"/>
    <x v="1"/>
    <n v="1112"/>
    <x v="4"/>
  </r>
  <r>
    <n v="1467"/>
    <s v="Nina Quiambao"/>
    <x v="4"/>
    <s v="Female"/>
    <n v="53"/>
    <x v="1"/>
    <x v="436"/>
    <x v="178"/>
    <x v="0"/>
    <x v="0"/>
    <n v="166"/>
    <x v="1"/>
  </r>
  <r>
    <n v="1468"/>
    <s v="Hazel Lopez Umali"/>
    <x v="1"/>
    <s v="Female"/>
    <n v="42"/>
    <x v="2"/>
    <x v="437"/>
    <x v="2"/>
    <x v="2"/>
    <x v="1"/>
    <n v="2642"/>
    <x v="3"/>
  </r>
  <r>
    <n v="1469"/>
    <s v="Kim Garcia"/>
    <x v="5"/>
    <s v="Male"/>
    <n v="36"/>
    <x v="0"/>
    <x v="438"/>
    <x v="179"/>
    <x v="0"/>
    <x v="0"/>
    <n v="749"/>
    <x v="7"/>
  </r>
  <r>
    <n v="1470"/>
    <s v="Tess Pascual Zulueta"/>
    <x v="1"/>
    <s v="Female"/>
    <n v="32"/>
    <x v="0"/>
    <x v="439"/>
    <x v="2"/>
    <x v="2"/>
    <x v="1"/>
    <n v="990"/>
    <x v="7"/>
  </r>
  <r>
    <n v="1471"/>
    <s v="Erlinda Narvasa"/>
    <x v="3"/>
    <s v="Female"/>
    <n v="51"/>
    <x v="1"/>
    <x v="440"/>
    <x v="180"/>
    <x v="6"/>
    <x v="0"/>
    <n v="940"/>
    <x v="7"/>
  </r>
  <r>
    <n v="1472"/>
    <s v="Gerald Ocampo Roque"/>
    <x v="1"/>
    <s v="Male"/>
    <n v="37"/>
    <x v="0"/>
    <x v="441"/>
    <x v="2"/>
    <x v="2"/>
    <x v="1"/>
    <n v="2420"/>
    <x v="6"/>
  </r>
  <r>
    <n v="1473"/>
    <s v="Ernesto Chan Quiambao"/>
    <x v="1"/>
    <s v="Male"/>
    <n v="27"/>
    <x v="3"/>
    <x v="442"/>
    <x v="181"/>
    <x v="1"/>
    <x v="0"/>
    <n v="2155"/>
    <x v="2"/>
  </r>
  <r>
    <n v="1474"/>
    <s v="Danilo Umali"/>
    <x v="3"/>
    <s v="Male"/>
    <n v="55"/>
    <x v="1"/>
    <x v="443"/>
    <x v="2"/>
    <x v="2"/>
    <x v="1"/>
    <n v="1045"/>
    <x v="7"/>
  </r>
  <r>
    <n v="1475"/>
    <s v="Larry Cruz Camacho"/>
    <x v="3"/>
    <s v="Male"/>
    <n v="21"/>
    <x v="3"/>
    <x v="444"/>
    <x v="2"/>
    <x v="2"/>
    <x v="1"/>
    <n v="327"/>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19"/>
    <x v="1"/>
  </r>
  <r>
    <n v="1480"/>
    <s v="Vince Manalang"/>
    <x v="1"/>
    <s v="Male"/>
    <n v="51"/>
    <x v="1"/>
    <x v="448"/>
    <x v="2"/>
    <x v="2"/>
    <x v="1"/>
    <n v="2067"/>
    <x v="2"/>
  </r>
  <r>
    <n v="1481"/>
    <s v="Herminia Tan Fernandez"/>
    <x v="4"/>
    <s v="Female"/>
    <n v="28"/>
    <x v="3"/>
    <x v="449"/>
    <x v="2"/>
    <x v="2"/>
    <x v="1"/>
    <n v="2165"/>
    <x v="2"/>
  </r>
  <r>
    <n v="1482"/>
    <s v="Alex Dela Cruz"/>
    <x v="2"/>
    <s v="Other"/>
    <n v="24"/>
    <x v="3"/>
    <x v="450"/>
    <x v="2"/>
    <x v="2"/>
    <x v="1"/>
    <n v="2448"/>
    <x v="6"/>
  </r>
  <r>
    <n v="1483"/>
    <s v="Antonio Tan Obispo"/>
    <x v="0"/>
    <s v="Male"/>
    <n v="26"/>
    <x v="3"/>
    <x v="451"/>
    <x v="81"/>
    <x v="0"/>
    <x v="0"/>
    <n v="1608"/>
    <x v="0"/>
  </r>
  <r>
    <n v="1484"/>
    <s v="Victor Pascual Reyes"/>
    <x v="0"/>
    <s v="Male"/>
    <n v="24"/>
    <x v="3"/>
    <x v="452"/>
    <x v="2"/>
    <x v="2"/>
    <x v="1"/>
    <n v="2389"/>
    <x v="6"/>
  </r>
  <r>
    <n v="1485"/>
    <s v="Josephine Pascual"/>
    <x v="1"/>
    <s v="Other"/>
    <n v="53"/>
    <x v="1"/>
    <x v="453"/>
    <x v="2"/>
    <x v="2"/>
    <x v="1"/>
    <n v="994"/>
    <x v="7"/>
  </r>
  <r>
    <n v="1486"/>
    <s v="Oliver Crisostomo"/>
    <x v="4"/>
    <s v="Male"/>
    <n v="31"/>
    <x v="0"/>
    <x v="454"/>
    <x v="2"/>
    <x v="2"/>
    <x v="1"/>
    <n v="2751"/>
    <x v="3"/>
  </r>
  <r>
    <n v="1487"/>
    <s v="Sue Aguilar Narvasa"/>
    <x v="4"/>
    <s v="Female"/>
    <n v="21"/>
    <x v="3"/>
    <x v="455"/>
    <x v="93"/>
    <x v="9"/>
    <x v="0"/>
    <n v="101"/>
    <x v="1"/>
  </r>
  <r>
    <n v="1488"/>
    <s v="Roberto Mendoza Soriano"/>
    <x v="1"/>
    <s v="Other"/>
    <n v="50"/>
    <x v="1"/>
    <x v="456"/>
    <x v="2"/>
    <x v="2"/>
    <x v="1"/>
    <n v="1452"/>
    <x v="4"/>
  </r>
  <r>
    <n v="1489"/>
    <s v="Severino Fajardo"/>
    <x v="0"/>
    <s v="Male"/>
    <n v="42"/>
    <x v="2"/>
    <x v="457"/>
    <x v="2"/>
    <x v="2"/>
    <x v="1"/>
    <n v="2627"/>
    <x v="3"/>
  </r>
  <r>
    <n v="1490"/>
    <s v="Eduardo Buenaventura"/>
    <x v="0"/>
    <s v="Other"/>
    <n v="45"/>
    <x v="2"/>
    <x v="458"/>
    <x v="2"/>
    <x v="2"/>
    <x v="1"/>
    <n v="800"/>
    <x v="7"/>
  </r>
  <r>
    <n v="1491"/>
    <s v="Teodoro Ramirez Aquino"/>
    <x v="4"/>
    <s v="Male"/>
    <n v="58"/>
    <x v="1"/>
    <x v="459"/>
    <x v="2"/>
    <x v="2"/>
    <x v="1"/>
    <n v="2994"/>
    <x v="8"/>
  </r>
  <r>
    <n v="1492"/>
    <s v="Mae Domingo Fajardo"/>
    <x v="5"/>
    <s v="Female"/>
    <n v="41"/>
    <x v="2"/>
    <x v="460"/>
    <x v="2"/>
    <x v="2"/>
    <x v="1"/>
    <n v="1417"/>
    <x v="4"/>
  </r>
  <r>
    <n v="1493"/>
    <s v="Jacqueline Flores Tuazon"/>
    <x v="4"/>
    <s v="Female"/>
    <n v="42"/>
    <x v="2"/>
    <x v="64"/>
    <x v="2"/>
    <x v="2"/>
    <x v="1"/>
    <n v="2795"/>
    <x v="3"/>
  </r>
  <r>
    <n v="1494"/>
    <s v="Rosalinda Domingo San Pedro"/>
    <x v="2"/>
    <s v="Female"/>
    <n v="33"/>
    <x v="0"/>
    <x v="461"/>
    <x v="2"/>
    <x v="2"/>
    <x v="1"/>
    <n v="1063"/>
    <x v="7"/>
  </r>
  <r>
    <n v="1495"/>
    <s v="Rowena Figueroa"/>
    <x v="1"/>
    <s v="Female"/>
    <n v="36"/>
    <x v="0"/>
    <x v="462"/>
    <x v="185"/>
    <x v="0"/>
    <x v="0"/>
    <n v="488"/>
    <x v="5"/>
  </r>
  <r>
    <n v="1496"/>
    <s v="Patricia Aguilar Trinidad"/>
    <x v="0"/>
    <s v="Female"/>
    <n v="55"/>
    <x v="1"/>
    <x v="463"/>
    <x v="2"/>
    <x v="2"/>
    <x v="1"/>
    <n v="2933"/>
    <x v="8"/>
  </r>
  <r>
    <n v="1497"/>
    <s v="Maricel Sy Flores"/>
    <x v="0"/>
    <s v="Other"/>
    <n v="53"/>
    <x v="1"/>
    <x v="464"/>
    <x v="2"/>
    <x v="2"/>
    <x v="1"/>
    <n v="1959"/>
    <x v="2"/>
  </r>
  <r>
    <n v="1498"/>
    <s v="Hernando Roque"/>
    <x v="0"/>
    <s v="Male"/>
    <n v="53"/>
    <x v="1"/>
    <x v="465"/>
    <x v="2"/>
    <x v="2"/>
    <x v="1"/>
    <n v="1684"/>
    <x v="0"/>
  </r>
  <r>
    <n v="1499"/>
    <s v="Leonard Santiago Narvasa"/>
    <x v="5"/>
    <s v="Male"/>
    <n v="21"/>
    <x v="3"/>
    <x v="466"/>
    <x v="2"/>
    <x v="2"/>
    <x v="1"/>
    <n v="3058"/>
    <x v="8"/>
  </r>
  <r>
    <n v="1500"/>
    <s v="Karen Sy Evangelista"/>
    <x v="0"/>
    <s v="Female"/>
    <n v="56"/>
    <x v="1"/>
    <x v="467"/>
    <x v="186"/>
    <x v="5"/>
    <x v="0"/>
    <n v="1055"/>
    <x v="7"/>
  </r>
  <r>
    <n v="1501"/>
    <s v="Fernando Ramos Natividad"/>
    <x v="1"/>
    <s v="Other"/>
    <n v="44"/>
    <x v="2"/>
    <x v="468"/>
    <x v="2"/>
    <x v="2"/>
    <x v="1"/>
    <n v="1611"/>
    <x v="0"/>
  </r>
  <r>
    <n v="1502"/>
    <s v="Rowena Lacson"/>
    <x v="3"/>
    <s v="Other"/>
    <n v="27"/>
    <x v="3"/>
    <x v="469"/>
    <x v="2"/>
    <x v="2"/>
    <x v="1"/>
    <n v="2001"/>
    <x v="2"/>
  </r>
  <r>
    <n v="1503"/>
    <s v="Jose Navarro Camacho"/>
    <x v="1"/>
    <s v="Other"/>
    <n v="30"/>
    <x v="0"/>
    <x v="470"/>
    <x v="2"/>
    <x v="2"/>
    <x v="1"/>
    <n v="1169"/>
    <x v="4"/>
  </r>
  <r>
    <n v="1504"/>
    <s v="Pilar Rivera"/>
    <x v="2"/>
    <s v="Female"/>
    <n v="56"/>
    <x v="1"/>
    <x v="471"/>
    <x v="187"/>
    <x v="1"/>
    <x v="0"/>
    <n v="191"/>
    <x v="1"/>
  </r>
  <r>
    <n v="1505"/>
    <s v="Severino Torres Manalang"/>
    <x v="0"/>
    <s v="Male"/>
    <n v="49"/>
    <x v="2"/>
    <x v="472"/>
    <x v="188"/>
    <x v="9"/>
    <x v="0"/>
    <n v="827"/>
    <x v="7"/>
  </r>
  <r>
    <n v="1506"/>
    <s v="Neil Soriano"/>
    <x v="4"/>
    <s v="Male"/>
    <n v="33"/>
    <x v="0"/>
    <x v="473"/>
    <x v="2"/>
    <x v="2"/>
    <x v="1"/>
    <n v="744"/>
    <x v="7"/>
  </r>
  <r>
    <n v="1507"/>
    <s v="Warren Pascual Ramos"/>
    <x v="4"/>
    <s v="Male"/>
    <n v="53"/>
    <x v="1"/>
    <x v="474"/>
    <x v="2"/>
    <x v="2"/>
    <x v="1"/>
    <n v="1110"/>
    <x v="4"/>
  </r>
  <r>
    <n v="1508"/>
    <s v="Danilo Camacho"/>
    <x v="0"/>
    <s v="Other"/>
    <n v="31"/>
    <x v="0"/>
    <x v="475"/>
    <x v="2"/>
    <x v="2"/>
    <x v="1"/>
    <n v="483"/>
    <x v="5"/>
  </r>
  <r>
    <n v="1509"/>
    <s v="Fernando Quiambao"/>
    <x v="0"/>
    <s v="Other"/>
    <n v="59"/>
    <x v="1"/>
    <x v="476"/>
    <x v="189"/>
    <x v="7"/>
    <x v="0"/>
    <n v="1024"/>
    <x v="7"/>
  </r>
  <r>
    <n v="1510"/>
    <s v="Warren Reyes Bondoc"/>
    <x v="4"/>
    <s v="Male"/>
    <n v="44"/>
    <x v="2"/>
    <x v="271"/>
    <x v="2"/>
    <x v="2"/>
    <x v="1"/>
    <n v="702"/>
    <x v="5"/>
  </r>
  <r>
    <n v="1511"/>
    <s v="Natividad Mendoza Pascual"/>
    <x v="1"/>
    <s v="Female"/>
    <n v="37"/>
    <x v="0"/>
    <x v="477"/>
    <x v="2"/>
    <x v="2"/>
    <x v="1"/>
    <n v="236"/>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6"/>
    <x v="4"/>
  </r>
  <r>
    <n v="1515"/>
    <s v="Maricel Soriano Lacson"/>
    <x v="3"/>
    <s v="Other"/>
    <n v="32"/>
    <x v="0"/>
    <x v="480"/>
    <x v="2"/>
    <x v="2"/>
    <x v="1"/>
    <n v="686"/>
    <x v="5"/>
  </r>
  <r>
    <n v="1516"/>
    <s v="Jerome Soriano Bondoc"/>
    <x v="3"/>
    <s v="Male"/>
    <n v="35"/>
    <x v="0"/>
    <x v="481"/>
    <x v="2"/>
    <x v="2"/>
    <x v="1"/>
    <n v="2740"/>
    <x v="3"/>
  </r>
  <r>
    <n v="1517"/>
    <s v="Gani Sy Umali"/>
    <x v="1"/>
    <s v="Male"/>
    <n v="29"/>
    <x v="3"/>
    <x v="3"/>
    <x v="192"/>
    <x v="0"/>
    <x v="0"/>
    <n v="1185"/>
    <x v="4"/>
  </r>
  <r>
    <n v="1518"/>
    <s v="Timothy Rivera Tolentino"/>
    <x v="2"/>
    <s v="Male"/>
    <n v="21"/>
    <x v="3"/>
    <x v="482"/>
    <x v="193"/>
    <x v="4"/>
    <x v="0"/>
    <n v="511"/>
    <x v="5"/>
  </r>
  <r>
    <n v="1519"/>
    <s v="Mae Solis"/>
    <x v="2"/>
    <s v="Female"/>
    <n v="26"/>
    <x v="3"/>
    <x v="483"/>
    <x v="2"/>
    <x v="2"/>
    <x v="1"/>
    <n v="1377"/>
    <x v="4"/>
  </r>
  <r>
    <n v="1520"/>
    <s v="Teresa Torres Navarro"/>
    <x v="5"/>
    <s v="Female"/>
    <n v="55"/>
    <x v="1"/>
    <x v="484"/>
    <x v="2"/>
    <x v="2"/>
    <x v="1"/>
    <n v="2005"/>
    <x v="2"/>
  </r>
  <r>
    <n v="1521"/>
    <s v="Jaime Bautista Dalisay"/>
    <x v="0"/>
    <s v="Male"/>
    <n v="38"/>
    <x v="0"/>
    <x v="485"/>
    <x v="2"/>
    <x v="2"/>
    <x v="1"/>
    <n v="237"/>
    <x v="1"/>
  </r>
  <r>
    <n v="1522"/>
    <s v="Ana Santos Lim"/>
    <x v="3"/>
    <s v="Female"/>
    <n v="27"/>
    <x v="3"/>
    <x v="486"/>
    <x v="194"/>
    <x v="6"/>
    <x v="0"/>
    <n v="1554"/>
    <x v="0"/>
  </r>
  <r>
    <n v="1523"/>
    <s v="Cardo Jimenez"/>
    <x v="0"/>
    <s v="Male"/>
    <n v="40"/>
    <x v="2"/>
    <x v="487"/>
    <x v="2"/>
    <x v="2"/>
    <x v="1"/>
    <n v="1065"/>
    <x v="7"/>
  </r>
  <r>
    <n v="1524"/>
    <s v="Elena Domingo Navarro"/>
    <x v="4"/>
    <s v="Other"/>
    <n v="30"/>
    <x v="0"/>
    <x v="488"/>
    <x v="195"/>
    <x v="0"/>
    <x v="0"/>
    <n v="1697"/>
    <x v="0"/>
  </r>
  <r>
    <n v="1525"/>
    <s v="Luisa Uy"/>
    <x v="2"/>
    <s v="Other"/>
    <n v="28"/>
    <x v="3"/>
    <x v="489"/>
    <x v="2"/>
    <x v="2"/>
    <x v="1"/>
    <n v="2087"/>
    <x v="2"/>
  </r>
  <r>
    <n v="1526"/>
    <s v="Lorenzo Soriano Tuazon"/>
    <x v="1"/>
    <s v="Male"/>
    <n v="27"/>
    <x v="3"/>
    <x v="254"/>
    <x v="2"/>
    <x v="2"/>
    <x v="1"/>
    <n v="972"/>
    <x v="7"/>
  </r>
  <r>
    <n v="1527"/>
    <s v="Violeta Umali"/>
    <x v="3"/>
    <s v="Female"/>
    <n v="23"/>
    <x v="3"/>
    <x v="490"/>
    <x v="2"/>
    <x v="2"/>
    <x v="1"/>
    <n v="855"/>
    <x v="7"/>
  </r>
  <r>
    <n v="1528"/>
    <s v="Fernando Mercado Narvasa"/>
    <x v="1"/>
    <s v="Other"/>
    <n v="55"/>
    <x v="1"/>
    <x v="491"/>
    <x v="196"/>
    <x v="7"/>
    <x v="0"/>
    <n v="1868"/>
    <x v="2"/>
  </r>
  <r>
    <n v="1529"/>
    <s v="Patricia Ang Dela Cruz"/>
    <x v="1"/>
    <s v="Female"/>
    <n v="51"/>
    <x v="1"/>
    <x v="492"/>
    <x v="2"/>
    <x v="2"/>
    <x v="1"/>
    <n v="287"/>
    <x v="1"/>
  </r>
  <r>
    <n v="1530"/>
    <s v="Ronaldo Navarro Flores"/>
    <x v="1"/>
    <s v="Male"/>
    <n v="24"/>
    <x v="3"/>
    <x v="493"/>
    <x v="197"/>
    <x v="1"/>
    <x v="0"/>
    <n v="720"/>
    <x v="5"/>
  </r>
  <r>
    <n v="1531"/>
    <s v="Sam Ramos Hernandez"/>
    <x v="3"/>
    <s v="Other"/>
    <n v="43"/>
    <x v="2"/>
    <x v="494"/>
    <x v="2"/>
    <x v="2"/>
    <x v="1"/>
    <n v="1310"/>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30"/>
    <x v="8"/>
  </r>
  <r>
    <n v="1535"/>
    <s v="Ian Pascual Hilario"/>
    <x v="5"/>
    <s v="Male"/>
    <n v="45"/>
    <x v="2"/>
    <x v="498"/>
    <x v="2"/>
    <x v="2"/>
    <x v="1"/>
    <n v="2329"/>
    <x v="6"/>
  </r>
  <r>
    <n v="1536"/>
    <s v="Carlos Garcia"/>
    <x v="4"/>
    <s v="Male"/>
    <n v="28"/>
    <x v="3"/>
    <x v="243"/>
    <x v="2"/>
    <x v="2"/>
    <x v="1"/>
    <n v="2712"/>
    <x v="3"/>
  </r>
  <r>
    <n v="1537"/>
    <s v="Taylor Rivera Ocampo"/>
    <x v="1"/>
    <s v="Other"/>
    <n v="33"/>
    <x v="0"/>
    <x v="499"/>
    <x v="2"/>
    <x v="2"/>
    <x v="1"/>
    <n v="2668"/>
    <x v="3"/>
  </r>
  <r>
    <n v="1538"/>
    <s v="Manuel Reyes"/>
    <x v="5"/>
    <s v="Male"/>
    <n v="58"/>
    <x v="1"/>
    <x v="500"/>
    <x v="200"/>
    <x v="8"/>
    <x v="0"/>
    <n v="542"/>
    <x v="5"/>
  </r>
  <r>
    <n v="1539"/>
    <s v="Fernando Lim Evangelista"/>
    <x v="1"/>
    <s v="Male"/>
    <n v="26"/>
    <x v="3"/>
    <x v="212"/>
    <x v="2"/>
    <x v="2"/>
    <x v="1"/>
    <n v="1189"/>
    <x v="4"/>
  </r>
  <r>
    <n v="1540"/>
    <s v="Manuel Villanueva"/>
    <x v="2"/>
    <s v="Other"/>
    <n v="24"/>
    <x v="3"/>
    <x v="501"/>
    <x v="35"/>
    <x v="1"/>
    <x v="0"/>
    <n v="110"/>
    <x v="1"/>
  </r>
  <r>
    <n v="1541"/>
    <s v="Leonora Elegado"/>
    <x v="3"/>
    <s v="Female"/>
    <n v="35"/>
    <x v="0"/>
    <x v="502"/>
    <x v="2"/>
    <x v="2"/>
    <x v="1"/>
    <n v="929"/>
    <x v="7"/>
  </r>
  <r>
    <n v="1542"/>
    <s v="Taylor Go Zulueta"/>
    <x v="0"/>
    <s v="Other"/>
    <n v="56"/>
    <x v="1"/>
    <x v="503"/>
    <x v="2"/>
    <x v="2"/>
    <x v="1"/>
    <n v="820"/>
    <x v="7"/>
  </r>
  <r>
    <n v="1543"/>
    <s v="Pete Lopez Vergara"/>
    <x v="5"/>
    <s v="Male"/>
    <n v="27"/>
    <x v="3"/>
    <x v="504"/>
    <x v="2"/>
    <x v="2"/>
    <x v="1"/>
    <n v="2423"/>
    <x v="6"/>
  </r>
  <r>
    <n v="1544"/>
    <s v="Elmer Sy Ignacio"/>
    <x v="0"/>
    <s v="Male"/>
    <n v="43"/>
    <x v="2"/>
    <x v="505"/>
    <x v="2"/>
    <x v="2"/>
    <x v="1"/>
    <n v="1816"/>
    <x v="0"/>
  </r>
  <r>
    <n v="1545"/>
    <s v="Leonard Hilario"/>
    <x v="2"/>
    <s v="Male"/>
    <n v="36"/>
    <x v="0"/>
    <x v="458"/>
    <x v="2"/>
    <x v="2"/>
    <x v="1"/>
    <n v="800"/>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398"/>
    <x v="6"/>
  </r>
  <r>
    <n v="1550"/>
    <s v="Danilo Manalang"/>
    <x v="1"/>
    <s v="Other"/>
    <n v="45"/>
    <x v="2"/>
    <x v="509"/>
    <x v="2"/>
    <x v="2"/>
    <x v="1"/>
    <n v="2785"/>
    <x v="3"/>
  </r>
  <r>
    <n v="1551"/>
    <s v="Cristina Reyes"/>
    <x v="4"/>
    <s v="Other"/>
    <n v="28"/>
    <x v="3"/>
    <x v="510"/>
    <x v="2"/>
    <x v="2"/>
    <x v="1"/>
    <n v="2178"/>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08"/>
    <x v="7"/>
  </r>
  <r>
    <n v="1556"/>
    <s v="Harold Reyes Diaz"/>
    <x v="5"/>
    <s v="Male"/>
    <n v="57"/>
    <x v="1"/>
    <x v="481"/>
    <x v="207"/>
    <x v="6"/>
    <x v="0"/>
    <n v="1784"/>
    <x v="0"/>
  </r>
  <r>
    <n v="1557"/>
    <s v="Cherry Cruz Trinidad"/>
    <x v="5"/>
    <s v="Female"/>
    <n v="43"/>
    <x v="2"/>
    <x v="515"/>
    <x v="2"/>
    <x v="2"/>
    <x v="1"/>
    <n v="582"/>
    <x v="5"/>
  </r>
  <r>
    <n v="1558"/>
    <s v="Rowena Gonzales"/>
    <x v="3"/>
    <s v="Female"/>
    <n v="44"/>
    <x v="2"/>
    <x v="516"/>
    <x v="2"/>
    <x v="2"/>
    <x v="1"/>
    <n v="2468"/>
    <x v="6"/>
  </r>
  <r>
    <n v="1559"/>
    <s v="Christian Diaz Natividad"/>
    <x v="4"/>
    <s v="Male"/>
    <n v="30"/>
    <x v="0"/>
    <x v="517"/>
    <x v="208"/>
    <x v="4"/>
    <x v="0"/>
    <n v="1510"/>
    <x v="0"/>
  </r>
  <r>
    <n v="1560"/>
    <s v="Teodoro Fernandez Hilario"/>
    <x v="1"/>
    <s v="Male"/>
    <n v="34"/>
    <x v="0"/>
    <x v="407"/>
    <x v="2"/>
    <x v="2"/>
    <x v="1"/>
    <n v="868"/>
    <x v="7"/>
  </r>
  <r>
    <n v="1561"/>
    <s v="Mark Bautista Garcia"/>
    <x v="5"/>
    <s v="Male"/>
    <n v="45"/>
    <x v="2"/>
    <x v="518"/>
    <x v="2"/>
    <x v="2"/>
    <x v="1"/>
    <n v="719"/>
    <x v="5"/>
  </r>
  <r>
    <n v="1562"/>
    <s v="Alex Aguilar Aquino"/>
    <x v="4"/>
    <s v="Other"/>
    <n v="38"/>
    <x v="0"/>
    <x v="519"/>
    <x v="2"/>
    <x v="2"/>
    <x v="1"/>
    <n v="2889"/>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7"/>
    <x v="4"/>
  </r>
  <r>
    <n v="1569"/>
    <s v="Erlinda Corpuz"/>
    <x v="2"/>
    <s v="Female"/>
    <n v="54"/>
    <x v="1"/>
    <x v="525"/>
    <x v="2"/>
    <x v="2"/>
    <x v="1"/>
    <n v="2553"/>
    <x v="6"/>
  </r>
  <r>
    <n v="1570"/>
    <s v="Annaliza Fernandez Navarro"/>
    <x v="3"/>
    <s v="Female"/>
    <n v="56"/>
    <x v="1"/>
    <x v="526"/>
    <x v="2"/>
    <x v="2"/>
    <x v="1"/>
    <n v="923"/>
    <x v="7"/>
  </r>
  <r>
    <n v="1571"/>
    <s v="Fernando Domingo"/>
    <x v="5"/>
    <s v="Other"/>
    <n v="47"/>
    <x v="2"/>
    <x v="527"/>
    <x v="213"/>
    <x v="5"/>
    <x v="0"/>
    <n v="1394"/>
    <x v="4"/>
  </r>
  <r>
    <n v="1572"/>
    <s v="Queenie Reyes Perez"/>
    <x v="1"/>
    <s v="Female"/>
    <n v="38"/>
    <x v="0"/>
    <x v="528"/>
    <x v="2"/>
    <x v="2"/>
    <x v="1"/>
    <n v="626"/>
    <x v="5"/>
  </r>
  <r>
    <n v="1573"/>
    <s v="Cristina Tuazon"/>
    <x v="4"/>
    <s v="Other"/>
    <n v="51"/>
    <x v="1"/>
    <x v="529"/>
    <x v="2"/>
    <x v="2"/>
    <x v="1"/>
    <n v="2557"/>
    <x v="3"/>
  </r>
  <r>
    <n v="1574"/>
    <s v="Alex Wong"/>
    <x v="4"/>
    <s v="Other"/>
    <n v="63"/>
    <x v="4"/>
    <x v="530"/>
    <x v="214"/>
    <x v="7"/>
    <x v="0"/>
    <n v="485"/>
    <x v="5"/>
  </r>
  <r>
    <n v="1575"/>
    <s v="Gani Go Hernandez"/>
    <x v="1"/>
    <s v="Male"/>
    <n v="33"/>
    <x v="0"/>
    <x v="531"/>
    <x v="215"/>
    <x v="4"/>
    <x v="0"/>
    <n v="1889"/>
    <x v="2"/>
  </r>
  <r>
    <n v="1576"/>
    <s v="Leonard Cruz Obispo"/>
    <x v="2"/>
    <s v="Male"/>
    <n v="23"/>
    <x v="3"/>
    <x v="532"/>
    <x v="2"/>
    <x v="2"/>
    <x v="1"/>
    <n v="616"/>
    <x v="5"/>
  </r>
  <r>
    <n v="1577"/>
    <s v="Nathan Rivera San Pedro"/>
    <x v="0"/>
    <s v="Male"/>
    <n v="23"/>
    <x v="3"/>
    <x v="533"/>
    <x v="2"/>
    <x v="2"/>
    <x v="1"/>
    <n v="2100"/>
    <x v="2"/>
  </r>
  <r>
    <n v="1578"/>
    <s v="Wilfredo Pascual Suarez"/>
    <x v="0"/>
    <s v="Male"/>
    <n v="24"/>
    <x v="3"/>
    <x v="498"/>
    <x v="23"/>
    <x v="4"/>
    <x v="0"/>
    <n v="1720"/>
    <x v="0"/>
  </r>
  <r>
    <n v="1579"/>
    <s v="Daisy Dela Cruz"/>
    <x v="0"/>
    <s v="Female"/>
    <n v="54"/>
    <x v="1"/>
    <x v="534"/>
    <x v="2"/>
    <x v="2"/>
    <x v="1"/>
    <n v="2524"/>
    <x v="6"/>
  </r>
  <r>
    <n v="1580"/>
    <s v="Rodel Go Natividad"/>
    <x v="1"/>
    <s v="Other"/>
    <n v="55"/>
    <x v="1"/>
    <x v="222"/>
    <x v="2"/>
    <x v="2"/>
    <x v="1"/>
    <n v="2552"/>
    <x v="6"/>
  </r>
  <r>
    <n v="1581"/>
    <s v="Juan Miranda"/>
    <x v="0"/>
    <s v="Other"/>
    <n v="33"/>
    <x v="0"/>
    <x v="535"/>
    <x v="216"/>
    <x v="1"/>
    <x v="0"/>
    <n v="753"/>
    <x v="7"/>
  </r>
  <r>
    <n v="1582"/>
    <s v="Arnel Dela Torre"/>
    <x v="1"/>
    <s v="Other"/>
    <n v="44"/>
    <x v="2"/>
    <x v="536"/>
    <x v="2"/>
    <x v="2"/>
    <x v="1"/>
    <n v="2757"/>
    <x v="3"/>
  </r>
  <r>
    <n v="1583"/>
    <s v="Juan Fernandez Mangubat"/>
    <x v="0"/>
    <s v="Other"/>
    <n v="45"/>
    <x v="2"/>
    <x v="537"/>
    <x v="2"/>
    <x v="2"/>
    <x v="1"/>
    <n v="852"/>
    <x v="7"/>
  </r>
  <r>
    <n v="1584"/>
    <s v="Annaliza Flores"/>
    <x v="1"/>
    <s v="Female"/>
    <n v="55"/>
    <x v="1"/>
    <x v="538"/>
    <x v="217"/>
    <x v="7"/>
    <x v="0"/>
    <n v="1003"/>
    <x v="7"/>
  </r>
  <r>
    <n v="1585"/>
    <s v="Isabel Guerrero"/>
    <x v="1"/>
    <s v="Other"/>
    <n v="21"/>
    <x v="3"/>
    <x v="539"/>
    <x v="2"/>
    <x v="2"/>
    <x v="1"/>
    <n v="1228"/>
    <x v="4"/>
  </r>
  <r>
    <n v="1586"/>
    <s v="Alvin Santos Bondoc"/>
    <x v="0"/>
    <s v="Male"/>
    <n v="34"/>
    <x v="0"/>
    <x v="540"/>
    <x v="2"/>
    <x v="2"/>
    <x v="1"/>
    <n v="695"/>
    <x v="5"/>
  </r>
  <r>
    <n v="1587"/>
    <s v="Harold Cruz Ocampo"/>
    <x v="4"/>
    <s v="Male"/>
    <n v="56"/>
    <x v="1"/>
    <x v="379"/>
    <x v="218"/>
    <x v="0"/>
    <x v="0"/>
    <n v="697"/>
    <x v="5"/>
  </r>
  <r>
    <n v="1588"/>
    <s v="Riley Gonzales Lopez"/>
    <x v="5"/>
    <s v="Other"/>
    <n v="40"/>
    <x v="2"/>
    <x v="541"/>
    <x v="2"/>
    <x v="2"/>
    <x v="1"/>
    <n v="1750"/>
    <x v="0"/>
  </r>
  <r>
    <n v="1589"/>
    <s v="Nina Soriano Ocampo"/>
    <x v="1"/>
    <s v="Female"/>
    <n v="57"/>
    <x v="1"/>
    <x v="542"/>
    <x v="219"/>
    <x v="1"/>
    <x v="0"/>
    <n v="556"/>
    <x v="5"/>
  </r>
  <r>
    <n v="1590"/>
    <s v="Jordan Torres Chua"/>
    <x v="4"/>
    <s v="Other"/>
    <n v="25"/>
    <x v="3"/>
    <x v="543"/>
    <x v="2"/>
    <x v="2"/>
    <x v="1"/>
    <n v="1356"/>
    <x v="4"/>
  </r>
  <r>
    <n v="1591"/>
    <s v="Natividad Garcia Solis"/>
    <x v="5"/>
    <s v="Female"/>
    <n v="54"/>
    <x v="1"/>
    <x v="544"/>
    <x v="2"/>
    <x v="2"/>
    <x v="1"/>
    <n v="1412"/>
    <x v="4"/>
  </r>
  <r>
    <n v="1592"/>
    <s v="Rodel Vega Chan"/>
    <x v="0"/>
    <s v="Other"/>
    <n v="39"/>
    <x v="0"/>
    <x v="545"/>
    <x v="2"/>
    <x v="2"/>
    <x v="1"/>
    <n v="1357"/>
    <x v="4"/>
  </r>
  <r>
    <n v="1593"/>
    <s v="Ian Zamora"/>
    <x v="3"/>
    <s v="Male"/>
    <n v="52"/>
    <x v="1"/>
    <x v="546"/>
    <x v="2"/>
    <x v="2"/>
    <x v="1"/>
    <n v="978"/>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52"/>
    <x v="1"/>
  </r>
  <r>
    <n v="1598"/>
    <s v="Paolo Soriano Del Rosario"/>
    <x v="0"/>
    <s v="Male"/>
    <n v="55"/>
    <x v="1"/>
    <x v="304"/>
    <x v="2"/>
    <x v="2"/>
    <x v="1"/>
    <n v="1734"/>
    <x v="0"/>
  </r>
  <r>
    <n v="1599"/>
    <s v="Ivan Aquino"/>
    <x v="0"/>
    <s v="Male"/>
    <n v="56"/>
    <x v="1"/>
    <x v="550"/>
    <x v="223"/>
    <x v="1"/>
    <x v="0"/>
    <n v="681"/>
    <x v="5"/>
  </r>
  <r>
    <n v="1600"/>
    <s v="Imelda Macapagal"/>
    <x v="4"/>
    <s v="Female"/>
    <n v="45"/>
    <x v="2"/>
    <x v="551"/>
    <x v="2"/>
    <x v="2"/>
    <x v="1"/>
    <n v="540"/>
    <x v="5"/>
  </r>
  <r>
    <n v="1601"/>
    <s v="Carmen Ang Wong"/>
    <x v="1"/>
    <s v="Female"/>
    <n v="40"/>
    <x v="2"/>
    <x v="552"/>
    <x v="2"/>
    <x v="2"/>
    <x v="1"/>
    <n v="218"/>
    <x v="1"/>
  </r>
  <r>
    <n v="1602"/>
    <s v="Hernando Cruz Gonzales"/>
    <x v="2"/>
    <s v="Male"/>
    <n v="40"/>
    <x v="2"/>
    <x v="553"/>
    <x v="2"/>
    <x v="2"/>
    <x v="1"/>
    <n v="2221"/>
    <x v="6"/>
  </r>
  <r>
    <n v="1603"/>
    <s v="Cameron Chan Diaz"/>
    <x v="5"/>
    <s v="Other"/>
    <n v="49"/>
    <x v="2"/>
    <x v="554"/>
    <x v="224"/>
    <x v="4"/>
    <x v="0"/>
    <n v="584"/>
    <x v="5"/>
  </r>
  <r>
    <n v="1604"/>
    <s v="Efren Delmendo"/>
    <x v="5"/>
    <s v="Male"/>
    <n v="41"/>
    <x v="2"/>
    <x v="555"/>
    <x v="2"/>
    <x v="2"/>
    <x v="1"/>
    <n v="2520"/>
    <x v="6"/>
  </r>
  <r>
    <n v="1605"/>
    <s v="Teresa Cruz Gonzales"/>
    <x v="1"/>
    <s v="Other"/>
    <n v="50"/>
    <x v="1"/>
    <x v="556"/>
    <x v="2"/>
    <x v="2"/>
    <x v="1"/>
    <n v="1519"/>
    <x v="0"/>
  </r>
  <r>
    <n v="1606"/>
    <s v="Eduardo Soriano Lopez"/>
    <x v="5"/>
    <s v="Male"/>
    <n v="26"/>
    <x v="3"/>
    <x v="87"/>
    <x v="2"/>
    <x v="2"/>
    <x v="1"/>
    <n v="1741"/>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5"/>
    <x v="5"/>
  </r>
  <r>
    <n v="1610"/>
    <s v="Zeus Ong"/>
    <x v="0"/>
    <s v="Male"/>
    <n v="27"/>
    <x v="3"/>
    <x v="560"/>
    <x v="227"/>
    <x v="6"/>
    <x v="0"/>
    <n v="963"/>
    <x v="7"/>
  </r>
  <r>
    <n v="1611"/>
    <s v="Neil Ramos"/>
    <x v="5"/>
    <s v="Male"/>
    <n v="43"/>
    <x v="2"/>
    <x v="561"/>
    <x v="183"/>
    <x v="1"/>
    <x v="0"/>
    <n v="495"/>
    <x v="5"/>
  </r>
  <r>
    <n v="1612"/>
    <s v="Cardo Go Fernandez"/>
    <x v="5"/>
    <s v="Male"/>
    <n v="29"/>
    <x v="3"/>
    <x v="383"/>
    <x v="2"/>
    <x v="2"/>
    <x v="1"/>
    <n v="2726"/>
    <x v="3"/>
  </r>
  <r>
    <n v="1613"/>
    <s v="Danilo Reyes Dalisay"/>
    <x v="0"/>
    <s v="Other"/>
    <n v="30"/>
    <x v="0"/>
    <x v="501"/>
    <x v="228"/>
    <x v="6"/>
    <x v="0"/>
    <n v="276"/>
    <x v="1"/>
  </r>
  <r>
    <n v="1614"/>
    <s v="Diana Manalang"/>
    <x v="1"/>
    <s v="Female"/>
    <n v="51"/>
    <x v="1"/>
    <x v="562"/>
    <x v="2"/>
    <x v="2"/>
    <x v="1"/>
    <n v="1217"/>
    <x v="4"/>
  </r>
  <r>
    <n v="1615"/>
    <s v="Gloria Tan Sia"/>
    <x v="1"/>
    <s v="Female"/>
    <n v="27"/>
    <x v="3"/>
    <x v="563"/>
    <x v="2"/>
    <x v="2"/>
    <x v="1"/>
    <n v="1772"/>
    <x v="0"/>
  </r>
  <r>
    <n v="1616"/>
    <s v="Karen Santiago"/>
    <x v="0"/>
    <s v="Female"/>
    <n v="36"/>
    <x v="0"/>
    <x v="564"/>
    <x v="229"/>
    <x v="6"/>
    <x v="0"/>
    <n v="583"/>
    <x v="5"/>
  </r>
  <r>
    <n v="1617"/>
    <s v="Gloria Ocampo Hernandez"/>
    <x v="0"/>
    <s v="Other"/>
    <n v="48"/>
    <x v="2"/>
    <x v="565"/>
    <x v="2"/>
    <x v="2"/>
    <x v="1"/>
    <n v="783"/>
    <x v="7"/>
  </r>
  <r>
    <n v="1618"/>
    <s v="Carmen Uy Dalisay"/>
    <x v="5"/>
    <s v="Other"/>
    <n v="52"/>
    <x v="1"/>
    <x v="566"/>
    <x v="2"/>
    <x v="2"/>
    <x v="1"/>
    <n v="2638"/>
    <x v="3"/>
  </r>
  <r>
    <n v="1619"/>
    <s v="Casey Rivera"/>
    <x v="1"/>
    <s v="Other"/>
    <n v="51"/>
    <x v="1"/>
    <x v="567"/>
    <x v="230"/>
    <x v="7"/>
    <x v="0"/>
    <n v="478"/>
    <x v="5"/>
  </r>
  <r>
    <n v="1620"/>
    <s v="Luisa Uy Fajardo"/>
    <x v="2"/>
    <s v="Other"/>
    <n v="21"/>
    <x v="3"/>
    <x v="568"/>
    <x v="2"/>
    <x v="2"/>
    <x v="1"/>
    <n v="2506"/>
    <x v="6"/>
  </r>
  <r>
    <n v="1621"/>
    <s v="Manuel Lacson"/>
    <x v="1"/>
    <s v="Other"/>
    <n v="41"/>
    <x v="2"/>
    <x v="255"/>
    <x v="2"/>
    <x v="2"/>
    <x v="1"/>
    <n v="1879"/>
    <x v="2"/>
  </r>
  <r>
    <n v="1622"/>
    <s v="Pilar Vergara"/>
    <x v="3"/>
    <s v="Other"/>
    <n v="58"/>
    <x v="1"/>
    <x v="569"/>
    <x v="2"/>
    <x v="2"/>
    <x v="1"/>
    <n v="3073"/>
    <x v="8"/>
  </r>
  <r>
    <n v="1623"/>
    <s v="Diana Tan Bautista"/>
    <x v="2"/>
    <s v="Female"/>
    <n v="56"/>
    <x v="1"/>
    <x v="519"/>
    <x v="52"/>
    <x v="0"/>
    <x v="0"/>
    <n v="1561"/>
    <x v="0"/>
  </r>
  <r>
    <n v="1624"/>
    <s v="Ramon Ramos Delos Reyes"/>
    <x v="0"/>
    <s v="Other"/>
    <n v="46"/>
    <x v="2"/>
    <x v="418"/>
    <x v="2"/>
    <x v="2"/>
    <x v="1"/>
    <n v="1544"/>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202"/>
    <x v="4"/>
  </r>
  <r>
    <n v="1630"/>
    <s v="Willy Yap"/>
    <x v="0"/>
    <s v="Male"/>
    <n v="25"/>
    <x v="3"/>
    <x v="574"/>
    <x v="2"/>
    <x v="2"/>
    <x v="1"/>
    <n v="305"/>
    <x v="1"/>
  </r>
  <r>
    <n v="1631"/>
    <s v="Eddie Macapagal"/>
    <x v="3"/>
    <s v="Male"/>
    <n v="21"/>
    <x v="3"/>
    <x v="575"/>
    <x v="2"/>
    <x v="2"/>
    <x v="1"/>
    <n v="1186"/>
    <x v="4"/>
  </r>
  <r>
    <n v="1632"/>
    <s v="Manuel Dela Torre"/>
    <x v="4"/>
    <s v="Other"/>
    <n v="39"/>
    <x v="0"/>
    <x v="576"/>
    <x v="234"/>
    <x v="5"/>
    <x v="0"/>
    <n v="1513"/>
    <x v="0"/>
  </r>
  <r>
    <n v="1633"/>
    <s v="Aldrin San Pedro"/>
    <x v="4"/>
    <s v="Male"/>
    <n v="58"/>
    <x v="1"/>
    <x v="375"/>
    <x v="2"/>
    <x v="2"/>
    <x v="1"/>
    <n v="2414"/>
    <x v="6"/>
  </r>
  <r>
    <n v="1634"/>
    <s v="Celine Aguilar Go"/>
    <x v="4"/>
    <s v="Female"/>
    <n v="53"/>
    <x v="1"/>
    <x v="577"/>
    <x v="2"/>
    <x v="2"/>
    <x v="1"/>
    <n v="2792"/>
    <x v="3"/>
  </r>
  <r>
    <n v="1635"/>
    <s v="Patricia Mercado Soriano"/>
    <x v="4"/>
    <s v="Female"/>
    <n v="28"/>
    <x v="3"/>
    <x v="578"/>
    <x v="235"/>
    <x v="8"/>
    <x v="0"/>
    <n v="244"/>
    <x v="1"/>
  </r>
  <r>
    <n v="1636"/>
    <s v="Cameron Perez"/>
    <x v="0"/>
    <s v="Other"/>
    <n v="23"/>
    <x v="3"/>
    <x v="579"/>
    <x v="2"/>
    <x v="2"/>
    <x v="1"/>
    <n v="1702"/>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08"/>
    <x v="3"/>
  </r>
  <r>
    <n v="1641"/>
    <s v="Violeta Go Corpuz"/>
    <x v="5"/>
    <s v="Female"/>
    <n v="38"/>
    <x v="0"/>
    <x v="584"/>
    <x v="2"/>
    <x v="2"/>
    <x v="1"/>
    <n v="2013"/>
    <x v="2"/>
  </r>
  <r>
    <n v="1642"/>
    <s v="Jose Santos Macaraeg"/>
    <x v="5"/>
    <s v="Other"/>
    <n v="58"/>
    <x v="1"/>
    <x v="585"/>
    <x v="2"/>
    <x v="2"/>
    <x v="1"/>
    <n v="2308"/>
    <x v="6"/>
  </r>
  <r>
    <n v="1643"/>
    <s v="Diana Reyes Go"/>
    <x v="2"/>
    <s v="Female"/>
    <n v="27"/>
    <x v="3"/>
    <x v="586"/>
    <x v="234"/>
    <x v="6"/>
    <x v="0"/>
    <n v="546"/>
    <x v="5"/>
  </r>
  <r>
    <n v="1644"/>
    <s v="Annaliza Dela Cruz"/>
    <x v="0"/>
    <s v="Female"/>
    <n v="34"/>
    <x v="0"/>
    <x v="587"/>
    <x v="2"/>
    <x v="2"/>
    <x v="1"/>
    <n v="651"/>
    <x v="5"/>
  </r>
  <r>
    <n v="1645"/>
    <s v="Ismael Ocampo Go"/>
    <x v="1"/>
    <s v="Male"/>
    <n v="57"/>
    <x v="1"/>
    <x v="588"/>
    <x v="2"/>
    <x v="2"/>
    <x v="1"/>
    <n v="2350"/>
    <x v="6"/>
  </r>
  <r>
    <n v="1646"/>
    <s v="Rodel Ocampo Go"/>
    <x v="0"/>
    <s v="Other"/>
    <n v="38"/>
    <x v="0"/>
    <x v="130"/>
    <x v="2"/>
    <x v="2"/>
    <x v="1"/>
    <n v="1358"/>
    <x v="4"/>
  </r>
  <r>
    <n v="1647"/>
    <s v="Abigail Ocampo Chan"/>
    <x v="4"/>
    <s v="Female"/>
    <n v="45"/>
    <x v="2"/>
    <x v="589"/>
    <x v="2"/>
    <x v="2"/>
    <x v="1"/>
    <n v="1744"/>
    <x v="0"/>
  </r>
  <r>
    <n v="1648"/>
    <s v="Taylor Sy Mercado"/>
    <x v="0"/>
    <s v="Other"/>
    <n v="46"/>
    <x v="2"/>
    <x v="590"/>
    <x v="2"/>
    <x v="2"/>
    <x v="1"/>
    <n v="2376"/>
    <x v="6"/>
  </r>
  <r>
    <n v="1649"/>
    <s v="Severino Ang Natividad"/>
    <x v="1"/>
    <s v="Male"/>
    <n v="49"/>
    <x v="2"/>
    <x v="591"/>
    <x v="239"/>
    <x v="0"/>
    <x v="0"/>
    <n v="239"/>
    <x v="1"/>
  </r>
  <r>
    <n v="1650"/>
    <s v="Ernesto Tan Jimenez"/>
    <x v="1"/>
    <s v="Male"/>
    <n v="23"/>
    <x v="3"/>
    <x v="592"/>
    <x v="2"/>
    <x v="2"/>
    <x v="1"/>
    <n v="384"/>
    <x v="5"/>
  </r>
  <r>
    <n v="1651"/>
    <s v="Carlos Rivera Guerrero"/>
    <x v="0"/>
    <s v="Male"/>
    <n v="52"/>
    <x v="1"/>
    <x v="593"/>
    <x v="2"/>
    <x v="2"/>
    <x v="1"/>
    <n v="1148"/>
    <x v="4"/>
  </r>
  <r>
    <n v="1652"/>
    <s v="Efren Mangubat"/>
    <x v="3"/>
    <s v="Other"/>
    <n v="51"/>
    <x v="1"/>
    <x v="594"/>
    <x v="2"/>
    <x v="2"/>
    <x v="1"/>
    <n v="2610"/>
    <x v="3"/>
  </r>
  <r>
    <n v="1653"/>
    <s v="Gerald Ramos"/>
    <x v="4"/>
    <s v="Male"/>
    <n v="26"/>
    <x v="3"/>
    <x v="595"/>
    <x v="2"/>
    <x v="2"/>
    <x v="1"/>
    <n v="1610"/>
    <x v="0"/>
  </r>
  <r>
    <n v="1654"/>
    <s v="Sarah Rivera Delos Reyes"/>
    <x v="5"/>
    <s v="Female"/>
    <n v="33"/>
    <x v="0"/>
    <x v="596"/>
    <x v="2"/>
    <x v="2"/>
    <x v="1"/>
    <n v="2383"/>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6"/>
    <x v="6"/>
  </r>
  <r>
    <n v="1659"/>
    <s v="Belinda Bautista Reyes"/>
    <x v="0"/>
    <s v="Female"/>
    <n v="23"/>
    <x v="3"/>
    <x v="601"/>
    <x v="2"/>
    <x v="2"/>
    <x v="1"/>
    <n v="2112"/>
    <x v="2"/>
  </r>
  <r>
    <n v="1660"/>
    <s v="Lourdes Aquino"/>
    <x v="3"/>
    <s v="Other"/>
    <n v="27"/>
    <x v="3"/>
    <x v="602"/>
    <x v="2"/>
    <x v="2"/>
    <x v="1"/>
    <n v="1238"/>
    <x v="4"/>
  </r>
  <r>
    <n v="1661"/>
    <s v="Samuel Buenaventura"/>
    <x v="1"/>
    <s v="Male"/>
    <n v="35"/>
    <x v="0"/>
    <x v="603"/>
    <x v="2"/>
    <x v="2"/>
    <x v="1"/>
    <n v="2848"/>
    <x v="3"/>
  </r>
  <r>
    <n v="1662"/>
    <s v="Vince Flores Guerrero"/>
    <x v="3"/>
    <s v="Male"/>
    <n v="41"/>
    <x v="2"/>
    <x v="315"/>
    <x v="2"/>
    <x v="2"/>
    <x v="1"/>
    <n v="2612"/>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4"/>
    <x v="2"/>
  </r>
  <r>
    <n v="1666"/>
    <s v="Antonio Ang Perez"/>
    <x v="0"/>
    <s v="Male"/>
    <n v="47"/>
    <x v="2"/>
    <x v="605"/>
    <x v="2"/>
    <x v="2"/>
    <x v="1"/>
    <n v="2127"/>
    <x v="2"/>
  </r>
  <r>
    <n v="1667"/>
    <s v="Sue Mendoza Sy"/>
    <x v="0"/>
    <s v="Female"/>
    <n v="40"/>
    <x v="2"/>
    <x v="606"/>
    <x v="2"/>
    <x v="2"/>
    <x v="1"/>
    <n v="1682"/>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5"/>
    <x v="4"/>
  </r>
  <r>
    <n v="1672"/>
    <s v="Rachel Ang Tan"/>
    <x v="1"/>
    <s v="Female"/>
    <n v="35"/>
    <x v="0"/>
    <x v="23"/>
    <x v="248"/>
    <x v="4"/>
    <x v="0"/>
    <n v="1779"/>
    <x v="0"/>
  </r>
  <r>
    <n v="1673"/>
    <s v="Michael Castro Ignacio"/>
    <x v="1"/>
    <s v="Male"/>
    <n v="34"/>
    <x v="0"/>
    <x v="611"/>
    <x v="2"/>
    <x v="2"/>
    <x v="1"/>
    <n v="610"/>
    <x v="5"/>
  </r>
  <r>
    <n v="1674"/>
    <s v="Fernando Go Ramirez"/>
    <x v="0"/>
    <s v="Other"/>
    <n v="33"/>
    <x v="0"/>
    <x v="612"/>
    <x v="249"/>
    <x v="9"/>
    <x v="0"/>
    <n v="1507"/>
    <x v="0"/>
  </r>
  <r>
    <n v="1675"/>
    <s v="Herminia Zulueta"/>
    <x v="4"/>
    <s v="Female"/>
    <n v="42"/>
    <x v="2"/>
    <x v="613"/>
    <x v="2"/>
    <x v="2"/>
    <x v="1"/>
    <n v="2206"/>
    <x v="6"/>
  </r>
  <r>
    <n v="1676"/>
    <s v="Marcelo Go Ong"/>
    <x v="3"/>
    <s v="Male"/>
    <n v="56"/>
    <x v="1"/>
    <x v="614"/>
    <x v="250"/>
    <x v="4"/>
    <x v="0"/>
    <n v="2093"/>
    <x v="2"/>
  </r>
  <r>
    <n v="1677"/>
    <s v="Maricel Cruz Santos"/>
    <x v="4"/>
    <s v="Other"/>
    <n v="54"/>
    <x v="1"/>
    <x v="18"/>
    <x v="251"/>
    <x v="7"/>
    <x v="0"/>
    <n v="1276"/>
    <x v="4"/>
  </r>
  <r>
    <n v="1678"/>
    <s v="Nathan Umali"/>
    <x v="1"/>
    <s v="Male"/>
    <n v="53"/>
    <x v="1"/>
    <x v="615"/>
    <x v="2"/>
    <x v="2"/>
    <x v="1"/>
    <n v="2969"/>
    <x v="8"/>
  </r>
  <r>
    <n v="1679"/>
    <s v="Wendy Pascual Rivera"/>
    <x v="5"/>
    <s v="Female"/>
    <n v="52"/>
    <x v="1"/>
    <x v="165"/>
    <x v="252"/>
    <x v="0"/>
    <x v="0"/>
    <n v="1632"/>
    <x v="0"/>
  </r>
  <r>
    <n v="1680"/>
    <s v="Juan Reyes Lazo"/>
    <x v="1"/>
    <s v="Other"/>
    <n v="22"/>
    <x v="3"/>
    <x v="616"/>
    <x v="2"/>
    <x v="2"/>
    <x v="1"/>
    <n v="1141"/>
    <x v="4"/>
  </r>
  <r>
    <n v="1681"/>
    <s v="Kevin Santos Valencia"/>
    <x v="3"/>
    <s v="Male"/>
    <n v="29"/>
    <x v="3"/>
    <x v="617"/>
    <x v="2"/>
    <x v="2"/>
    <x v="1"/>
    <n v="226"/>
    <x v="1"/>
  </r>
  <r>
    <n v="1682"/>
    <s v="Paz Macapagal"/>
    <x v="2"/>
    <s v="Female"/>
    <n v="42"/>
    <x v="2"/>
    <x v="618"/>
    <x v="253"/>
    <x v="1"/>
    <x v="0"/>
    <n v="526"/>
    <x v="5"/>
  </r>
  <r>
    <n v="1683"/>
    <s v="Nina Santiago Mendoza"/>
    <x v="2"/>
    <s v="Female"/>
    <n v="42"/>
    <x v="2"/>
    <x v="619"/>
    <x v="2"/>
    <x v="2"/>
    <x v="1"/>
    <n v="2882"/>
    <x v="3"/>
  </r>
  <r>
    <n v="1684"/>
    <s v="Teresa Jacinto"/>
    <x v="0"/>
    <s v="Female"/>
    <n v="44"/>
    <x v="2"/>
    <x v="452"/>
    <x v="2"/>
    <x v="2"/>
    <x v="1"/>
    <n v="2389"/>
    <x v="6"/>
  </r>
  <r>
    <n v="1685"/>
    <s v="Lourdes Ramirez Jimenez"/>
    <x v="1"/>
    <s v="Other"/>
    <n v="36"/>
    <x v="0"/>
    <x v="620"/>
    <x v="241"/>
    <x v="1"/>
    <x v="0"/>
    <n v="579"/>
    <x v="5"/>
  </r>
  <r>
    <n v="1686"/>
    <s v="Riley Uy Aquino"/>
    <x v="4"/>
    <s v="Other"/>
    <n v="53"/>
    <x v="1"/>
    <x v="12"/>
    <x v="2"/>
    <x v="2"/>
    <x v="1"/>
    <n v="320"/>
    <x v="1"/>
  </r>
  <r>
    <n v="1687"/>
    <s v="Neil Santiago Chua"/>
    <x v="0"/>
    <s v="Male"/>
    <n v="28"/>
    <x v="3"/>
    <x v="621"/>
    <x v="2"/>
    <x v="2"/>
    <x v="1"/>
    <n v="1181"/>
    <x v="4"/>
  </r>
  <r>
    <n v="1688"/>
    <s v="Carmen Gonzales Dela Cruz"/>
    <x v="2"/>
    <s v="Other"/>
    <n v="25"/>
    <x v="3"/>
    <x v="326"/>
    <x v="2"/>
    <x v="2"/>
    <x v="1"/>
    <n v="2335"/>
    <x v="6"/>
  </r>
  <r>
    <n v="1689"/>
    <s v="Ramon Delmendo"/>
    <x v="4"/>
    <s v="Other"/>
    <n v="27"/>
    <x v="3"/>
    <x v="24"/>
    <x v="254"/>
    <x v="9"/>
    <x v="0"/>
    <n v="696"/>
    <x v="5"/>
  </r>
  <r>
    <n v="1690"/>
    <s v="Rafael Manalo"/>
    <x v="1"/>
    <s v="Male"/>
    <n v="55"/>
    <x v="1"/>
    <x v="622"/>
    <x v="2"/>
    <x v="2"/>
    <x v="1"/>
    <n v="2566"/>
    <x v="3"/>
  </r>
  <r>
    <n v="1691"/>
    <s v="Mae Diaz Bayani"/>
    <x v="1"/>
    <s v="Female"/>
    <n v="22"/>
    <x v="3"/>
    <x v="623"/>
    <x v="2"/>
    <x v="2"/>
    <x v="1"/>
    <n v="2155"/>
    <x v="2"/>
  </r>
  <r>
    <n v="1692"/>
    <s v="Teresa Soriano Hilario"/>
    <x v="5"/>
    <s v="Other"/>
    <n v="52"/>
    <x v="1"/>
    <x v="624"/>
    <x v="2"/>
    <x v="2"/>
    <x v="1"/>
    <n v="676"/>
    <x v="5"/>
  </r>
  <r>
    <n v="1693"/>
    <s v="Antonio Pascual Umali"/>
    <x v="0"/>
    <s v="Other"/>
    <n v="40"/>
    <x v="2"/>
    <x v="142"/>
    <x v="2"/>
    <x v="2"/>
    <x v="1"/>
    <n v="2403"/>
    <x v="6"/>
  </r>
  <r>
    <n v="1694"/>
    <s v="Imelda Trinidad"/>
    <x v="5"/>
    <s v="Female"/>
    <n v="43"/>
    <x v="2"/>
    <x v="625"/>
    <x v="2"/>
    <x v="2"/>
    <x v="1"/>
    <n v="1942"/>
    <x v="2"/>
  </r>
  <r>
    <n v="1695"/>
    <s v="Florinda Cruz Aguilar"/>
    <x v="5"/>
    <s v="Female"/>
    <n v="32"/>
    <x v="0"/>
    <x v="365"/>
    <x v="2"/>
    <x v="2"/>
    <x v="1"/>
    <n v="206"/>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5"/>
    <x v="4"/>
  </r>
  <r>
    <n v="1700"/>
    <s v="Jaime Aguilar Narvasa"/>
    <x v="1"/>
    <s v="Male"/>
    <n v="35"/>
    <x v="0"/>
    <x v="173"/>
    <x v="258"/>
    <x v="0"/>
    <x v="0"/>
    <n v="758"/>
    <x v="7"/>
  </r>
  <r>
    <n v="1701"/>
    <s v="Maricel Ang Cueto"/>
    <x v="1"/>
    <s v="Female"/>
    <n v="49"/>
    <x v="2"/>
    <x v="628"/>
    <x v="2"/>
    <x v="2"/>
    <x v="1"/>
    <n v="333"/>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8"/>
    <x v="3"/>
  </r>
  <r>
    <n v="1708"/>
    <s v="Ronaldo Sy Narvasa"/>
    <x v="1"/>
    <s v="Other"/>
    <n v="52"/>
    <x v="1"/>
    <x v="635"/>
    <x v="2"/>
    <x v="2"/>
    <x v="1"/>
    <n v="2833"/>
    <x v="3"/>
  </r>
  <r>
    <n v="1709"/>
    <s v="Kevin Cueto"/>
    <x v="2"/>
    <s v="Male"/>
    <n v="51"/>
    <x v="1"/>
    <x v="636"/>
    <x v="2"/>
    <x v="2"/>
    <x v="1"/>
    <n v="263"/>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5"/>
    <x v="2"/>
  </r>
  <r>
    <n v="1713"/>
    <s v="Herminia Ramirez Lopez"/>
    <x v="2"/>
    <s v="Female"/>
    <n v="54"/>
    <x v="1"/>
    <x v="639"/>
    <x v="266"/>
    <x v="6"/>
    <x v="0"/>
    <n v="1083"/>
    <x v="7"/>
  </r>
  <r>
    <n v="1714"/>
    <s v="Teresa Fajardo"/>
    <x v="2"/>
    <s v="Other"/>
    <n v="56"/>
    <x v="1"/>
    <x v="640"/>
    <x v="2"/>
    <x v="2"/>
    <x v="1"/>
    <n v="594"/>
    <x v="5"/>
  </r>
  <r>
    <n v="1715"/>
    <s v="Morgan Flores"/>
    <x v="5"/>
    <s v="Other"/>
    <n v="47"/>
    <x v="2"/>
    <x v="225"/>
    <x v="2"/>
    <x v="2"/>
    <x v="1"/>
    <n v="1220"/>
    <x v="4"/>
  </r>
  <r>
    <n v="1716"/>
    <s v="Mae Soriano Buenaventura"/>
    <x v="0"/>
    <s v="Female"/>
    <n v="44"/>
    <x v="2"/>
    <x v="641"/>
    <x v="2"/>
    <x v="2"/>
    <x v="1"/>
    <n v="2537"/>
    <x v="6"/>
  </r>
  <r>
    <n v="1717"/>
    <s v="Cameron Ramos Hernandez"/>
    <x v="1"/>
    <s v="Other"/>
    <n v="35"/>
    <x v="0"/>
    <x v="319"/>
    <x v="2"/>
    <x v="2"/>
    <x v="1"/>
    <n v="2579"/>
    <x v="3"/>
  </r>
  <r>
    <n v="1718"/>
    <s v="Morgan Chan Villanueva"/>
    <x v="1"/>
    <s v="Other"/>
    <n v="48"/>
    <x v="2"/>
    <x v="642"/>
    <x v="2"/>
    <x v="2"/>
    <x v="1"/>
    <n v="277"/>
    <x v="1"/>
  </r>
  <r>
    <n v="1719"/>
    <s v="Lea Torres Ong"/>
    <x v="5"/>
    <s v="Female"/>
    <n v="27"/>
    <x v="3"/>
    <x v="643"/>
    <x v="2"/>
    <x v="2"/>
    <x v="1"/>
    <n v="2972"/>
    <x v="8"/>
  </r>
  <r>
    <n v="1720"/>
    <s v="Natividad Ong"/>
    <x v="3"/>
    <s v="Female"/>
    <n v="40"/>
    <x v="2"/>
    <x v="644"/>
    <x v="267"/>
    <x v="4"/>
    <x v="0"/>
    <n v="139"/>
    <x v="1"/>
  </r>
  <r>
    <n v="1721"/>
    <s v="Vicente Lopez Narvasa"/>
    <x v="1"/>
    <s v="Male"/>
    <n v="26"/>
    <x v="3"/>
    <x v="645"/>
    <x v="2"/>
    <x v="2"/>
    <x v="1"/>
    <n v="2510"/>
    <x v="6"/>
  </r>
  <r>
    <n v="1722"/>
    <s v="Taylor Narvasa"/>
    <x v="2"/>
    <s v="Other"/>
    <n v="36"/>
    <x v="0"/>
    <x v="646"/>
    <x v="2"/>
    <x v="2"/>
    <x v="1"/>
    <n v="1038"/>
    <x v="7"/>
  </r>
  <r>
    <n v="1723"/>
    <s v="Gloria Santos"/>
    <x v="0"/>
    <s v="Other"/>
    <n v="39"/>
    <x v="0"/>
    <x v="142"/>
    <x v="2"/>
    <x v="2"/>
    <x v="1"/>
    <n v="2403"/>
    <x v="6"/>
  </r>
  <r>
    <n v="1724"/>
    <s v="Kristina Manalo"/>
    <x v="1"/>
    <s v="Female"/>
    <n v="53"/>
    <x v="1"/>
    <x v="647"/>
    <x v="2"/>
    <x v="2"/>
    <x v="1"/>
    <n v="208"/>
    <x v="1"/>
  </r>
  <r>
    <n v="1725"/>
    <s v="Rodel Ramos Castro"/>
    <x v="1"/>
    <s v="Other"/>
    <n v="45"/>
    <x v="2"/>
    <x v="648"/>
    <x v="268"/>
    <x v="6"/>
    <x v="0"/>
    <n v="556"/>
    <x v="5"/>
  </r>
  <r>
    <n v="1726"/>
    <s v="Rodel Rivera Dalisay"/>
    <x v="0"/>
    <s v="Male"/>
    <n v="39"/>
    <x v="0"/>
    <x v="649"/>
    <x v="2"/>
    <x v="2"/>
    <x v="1"/>
    <n v="824"/>
    <x v="7"/>
  </r>
  <r>
    <n v="1727"/>
    <s v="Victor Pascual Tan"/>
    <x v="4"/>
    <s v="Male"/>
    <n v="40"/>
    <x v="2"/>
    <x v="650"/>
    <x v="2"/>
    <x v="2"/>
    <x v="1"/>
    <n v="292"/>
    <x v="1"/>
  </r>
  <r>
    <n v="1728"/>
    <s v="Kevin Ang Soriano"/>
    <x v="3"/>
    <s v="Male"/>
    <n v="25"/>
    <x v="3"/>
    <x v="651"/>
    <x v="2"/>
    <x v="2"/>
    <x v="1"/>
    <n v="1158"/>
    <x v="4"/>
  </r>
  <r>
    <n v="1729"/>
    <s v="Joselito Mendoza Mercado"/>
    <x v="5"/>
    <s v="Male"/>
    <n v="54"/>
    <x v="1"/>
    <x v="261"/>
    <x v="2"/>
    <x v="2"/>
    <x v="1"/>
    <n v="409"/>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102"/>
    <x v="4"/>
  </r>
  <r>
    <n v="1733"/>
    <s v="Elmer Mendoza Domingo"/>
    <x v="2"/>
    <s v="Male"/>
    <n v="22"/>
    <x v="3"/>
    <x v="655"/>
    <x v="2"/>
    <x v="2"/>
    <x v="1"/>
    <n v="2373"/>
    <x v="6"/>
  </r>
  <r>
    <n v="1734"/>
    <s v="Kristoffer Chua"/>
    <x v="5"/>
    <s v="Male"/>
    <n v="54"/>
    <x v="1"/>
    <x v="656"/>
    <x v="2"/>
    <x v="2"/>
    <x v="1"/>
    <n v="1090"/>
    <x v="7"/>
  </r>
  <r>
    <n v="1735"/>
    <s v="Carmen Lacson"/>
    <x v="0"/>
    <s v="Female"/>
    <n v="42"/>
    <x v="2"/>
    <x v="657"/>
    <x v="2"/>
    <x v="2"/>
    <x v="1"/>
    <n v="892"/>
    <x v="7"/>
  </r>
  <r>
    <n v="1736"/>
    <s v="Antonio Soriano Soriano"/>
    <x v="1"/>
    <s v="Male"/>
    <n v="45"/>
    <x v="2"/>
    <x v="658"/>
    <x v="2"/>
    <x v="2"/>
    <x v="1"/>
    <n v="1294"/>
    <x v="4"/>
  </r>
  <r>
    <n v="1737"/>
    <s v="Josephine Lozano"/>
    <x v="2"/>
    <s v="Female"/>
    <n v="48"/>
    <x v="2"/>
    <x v="659"/>
    <x v="271"/>
    <x v="9"/>
    <x v="0"/>
    <n v="1683"/>
    <x v="0"/>
  </r>
  <r>
    <n v="1738"/>
    <s v="Juan Domingo Bagtas"/>
    <x v="5"/>
    <s v="Other"/>
    <n v="57"/>
    <x v="1"/>
    <x v="660"/>
    <x v="2"/>
    <x v="2"/>
    <x v="1"/>
    <n v="1182"/>
    <x v="4"/>
  </r>
  <r>
    <n v="1739"/>
    <s v="Avery Reyes Evangelista"/>
    <x v="0"/>
    <s v="Other"/>
    <n v="43"/>
    <x v="2"/>
    <x v="661"/>
    <x v="272"/>
    <x v="8"/>
    <x v="0"/>
    <n v="147"/>
    <x v="1"/>
  </r>
  <r>
    <n v="1740"/>
    <s v="Ivan Mercado Bondoc"/>
    <x v="5"/>
    <s v="Male"/>
    <n v="45"/>
    <x v="2"/>
    <x v="583"/>
    <x v="2"/>
    <x v="2"/>
    <x v="1"/>
    <n v="2708"/>
    <x v="3"/>
  </r>
  <r>
    <n v="1741"/>
    <s v="Carlos Lopez Yap"/>
    <x v="4"/>
    <s v="Male"/>
    <n v="58"/>
    <x v="1"/>
    <x v="662"/>
    <x v="2"/>
    <x v="2"/>
    <x v="1"/>
    <n v="2759"/>
    <x v="3"/>
  </r>
  <r>
    <n v="1742"/>
    <s v="Sonny Cueto"/>
    <x v="1"/>
    <s v="Male"/>
    <n v="50"/>
    <x v="1"/>
    <x v="663"/>
    <x v="2"/>
    <x v="2"/>
    <x v="1"/>
    <n v="412"/>
    <x v="5"/>
  </r>
  <r>
    <n v="1743"/>
    <s v="Arnel Mendoza Macapagal"/>
    <x v="4"/>
    <s v="Other"/>
    <n v="58"/>
    <x v="1"/>
    <x v="664"/>
    <x v="2"/>
    <x v="2"/>
    <x v="1"/>
    <n v="3015"/>
    <x v="8"/>
  </r>
  <r>
    <n v="1744"/>
    <s v="Karen Pascual"/>
    <x v="2"/>
    <s v="Female"/>
    <n v="34"/>
    <x v="0"/>
    <x v="665"/>
    <x v="2"/>
    <x v="2"/>
    <x v="1"/>
    <n v="1730"/>
    <x v="0"/>
  </r>
  <r>
    <n v="1745"/>
    <s v="Manuel Domingo Fajardo"/>
    <x v="4"/>
    <s v="Male"/>
    <n v="52"/>
    <x v="1"/>
    <x v="666"/>
    <x v="2"/>
    <x v="2"/>
    <x v="1"/>
    <n v="504"/>
    <x v="5"/>
  </r>
  <r>
    <n v="1746"/>
    <s v="Casey Miranda"/>
    <x v="1"/>
    <s v="Other"/>
    <n v="46"/>
    <x v="2"/>
    <x v="667"/>
    <x v="2"/>
    <x v="2"/>
    <x v="1"/>
    <n v="2181"/>
    <x v="2"/>
  </r>
  <r>
    <n v="1747"/>
    <s v="Eddie Ocampo Estrada"/>
    <x v="1"/>
    <s v="Male"/>
    <n v="25"/>
    <x v="3"/>
    <x v="668"/>
    <x v="2"/>
    <x v="2"/>
    <x v="1"/>
    <n v="786"/>
    <x v="7"/>
  </r>
  <r>
    <n v="1748"/>
    <s v="Hope Domingo Vega"/>
    <x v="5"/>
    <s v="Female"/>
    <n v="40"/>
    <x v="2"/>
    <x v="669"/>
    <x v="2"/>
    <x v="2"/>
    <x v="1"/>
    <n v="1333"/>
    <x v="4"/>
  </r>
  <r>
    <n v="1749"/>
    <s v="Larry Flores Navarro"/>
    <x v="0"/>
    <s v="Male"/>
    <n v="56"/>
    <x v="1"/>
    <x v="670"/>
    <x v="2"/>
    <x v="2"/>
    <x v="1"/>
    <n v="2367"/>
    <x v="6"/>
  </r>
  <r>
    <n v="1750"/>
    <s v="Gloria Solis"/>
    <x v="5"/>
    <s v="Other"/>
    <n v="50"/>
    <x v="1"/>
    <x v="671"/>
    <x v="2"/>
    <x v="2"/>
    <x v="1"/>
    <n v="2009"/>
    <x v="2"/>
  </r>
  <r>
    <n v="1751"/>
    <s v="Cameron Del Rosario"/>
    <x v="3"/>
    <s v="Other"/>
    <n v="24"/>
    <x v="3"/>
    <x v="672"/>
    <x v="66"/>
    <x v="0"/>
    <x v="0"/>
    <n v="563"/>
    <x v="5"/>
  </r>
  <r>
    <n v="1752"/>
    <s v="Paolo Wong"/>
    <x v="4"/>
    <s v="Male"/>
    <n v="41"/>
    <x v="2"/>
    <x v="673"/>
    <x v="2"/>
    <x v="2"/>
    <x v="1"/>
    <n v="2843"/>
    <x v="3"/>
  </r>
  <r>
    <n v="1753"/>
    <s v="Teresita Sy Yap"/>
    <x v="5"/>
    <s v="Female"/>
    <n v="36"/>
    <x v="0"/>
    <x v="674"/>
    <x v="273"/>
    <x v="0"/>
    <x v="0"/>
    <n v="397"/>
    <x v="5"/>
  </r>
  <r>
    <n v="1754"/>
    <s v="Rowena Soriano"/>
    <x v="4"/>
    <s v="Other"/>
    <n v="58"/>
    <x v="1"/>
    <x v="675"/>
    <x v="274"/>
    <x v="7"/>
    <x v="0"/>
    <n v="209"/>
    <x v="1"/>
  </r>
  <r>
    <n v="1755"/>
    <s v="Casey Macaraeg"/>
    <x v="1"/>
    <s v="Other"/>
    <n v="22"/>
    <x v="3"/>
    <x v="676"/>
    <x v="2"/>
    <x v="2"/>
    <x v="1"/>
    <n v="2880"/>
    <x v="3"/>
  </r>
  <r>
    <n v="1756"/>
    <s v="Casey Tolentino"/>
    <x v="2"/>
    <s v="Other"/>
    <n v="47"/>
    <x v="2"/>
    <x v="175"/>
    <x v="2"/>
    <x v="2"/>
    <x v="1"/>
    <n v="1618"/>
    <x v="0"/>
  </r>
  <r>
    <n v="1757"/>
    <s v="Annaliza Delmendo"/>
    <x v="5"/>
    <s v="Female"/>
    <n v="28"/>
    <x v="3"/>
    <x v="20"/>
    <x v="2"/>
    <x v="2"/>
    <x v="1"/>
    <n v="768"/>
    <x v="7"/>
  </r>
  <r>
    <n v="1758"/>
    <s v="Casey Navarro Sy"/>
    <x v="0"/>
    <s v="Other"/>
    <n v="54"/>
    <x v="1"/>
    <x v="677"/>
    <x v="2"/>
    <x v="2"/>
    <x v="1"/>
    <n v="2075"/>
    <x v="2"/>
  </r>
  <r>
    <n v="1759"/>
    <s v="Marcelo Flores Mercado"/>
    <x v="4"/>
    <s v="Male"/>
    <n v="45"/>
    <x v="2"/>
    <x v="678"/>
    <x v="2"/>
    <x v="2"/>
    <x v="1"/>
    <n v="2140"/>
    <x v="2"/>
  </r>
  <r>
    <n v="1760"/>
    <s v="Arnel Chan Macaraeg"/>
    <x v="3"/>
    <s v="Male"/>
    <n v="37"/>
    <x v="0"/>
    <x v="679"/>
    <x v="275"/>
    <x v="6"/>
    <x v="0"/>
    <n v="636"/>
    <x v="5"/>
  </r>
  <r>
    <n v="1761"/>
    <s v="Ronaldo Cruz Yap"/>
    <x v="5"/>
    <s v="Other"/>
    <n v="30"/>
    <x v="0"/>
    <x v="15"/>
    <x v="2"/>
    <x v="2"/>
    <x v="1"/>
    <n v="1620"/>
    <x v="0"/>
  </r>
  <r>
    <n v="1762"/>
    <s v="Patricio Soriano Go"/>
    <x v="2"/>
    <s v="Male"/>
    <n v="24"/>
    <x v="3"/>
    <x v="642"/>
    <x v="2"/>
    <x v="2"/>
    <x v="1"/>
    <n v="277"/>
    <x v="1"/>
  </r>
  <r>
    <n v="1763"/>
    <s v="Luisa Tan Salazar"/>
    <x v="0"/>
    <s v="Other"/>
    <n v="28"/>
    <x v="3"/>
    <x v="680"/>
    <x v="2"/>
    <x v="2"/>
    <x v="1"/>
    <n v="916"/>
    <x v="7"/>
  </r>
  <r>
    <n v="1764"/>
    <s v="Eduardo Lopez Sia"/>
    <x v="3"/>
    <s v="Other"/>
    <n v="40"/>
    <x v="2"/>
    <x v="681"/>
    <x v="2"/>
    <x v="2"/>
    <x v="1"/>
    <n v="2737"/>
    <x v="3"/>
  </r>
  <r>
    <n v="1765"/>
    <s v="Gani Tuazon"/>
    <x v="3"/>
    <s v="Male"/>
    <n v="47"/>
    <x v="2"/>
    <x v="682"/>
    <x v="276"/>
    <x v="4"/>
    <x v="0"/>
    <n v="418"/>
    <x v="5"/>
  </r>
  <r>
    <n v="1766"/>
    <s v="Teodoro Lim Bagtas"/>
    <x v="3"/>
    <s v="Male"/>
    <n v="48"/>
    <x v="2"/>
    <x v="683"/>
    <x v="2"/>
    <x v="2"/>
    <x v="1"/>
    <n v="2695"/>
    <x v="3"/>
  </r>
  <r>
    <n v="1767"/>
    <s v="Riley Bayani"/>
    <x v="0"/>
    <s v="Other"/>
    <n v="41"/>
    <x v="2"/>
    <x v="684"/>
    <x v="2"/>
    <x v="2"/>
    <x v="1"/>
    <n v="1250"/>
    <x v="4"/>
  </r>
  <r>
    <n v="1768"/>
    <s v="Manuel Torres Macaraeg"/>
    <x v="0"/>
    <s v="Other"/>
    <n v="29"/>
    <x v="3"/>
    <x v="685"/>
    <x v="2"/>
    <x v="2"/>
    <x v="1"/>
    <n v="3094"/>
    <x v="8"/>
  </r>
  <r>
    <n v="1769"/>
    <s v="Dennis Ramos Natividad"/>
    <x v="1"/>
    <s v="Male"/>
    <n v="29"/>
    <x v="3"/>
    <x v="686"/>
    <x v="2"/>
    <x v="2"/>
    <x v="1"/>
    <n v="673"/>
    <x v="5"/>
  </r>
  <r>
    <n v="1770"/>
    <s v="Maria Panganiban"/>
    <x v="4"/>
    <s v="Other"/>
    <n v="41"/>
    <x v="2"/>
    <x v="687"/>
    <x v="277"/>
    <x v="6"/>
    <x v="0"/>
    <n v="938"/>
    <x v="7"/>
  </r>
  <r>
    <n v="1771"/>
    <s v="Queenie Dela Cruz"/>
    <x v="2"/>
    <s v="Female"/>
    <n v="22"/>
    <x v="3"/>
    <x v="688"/>
    <x v="2"/>
    <x v="2"/>
    <x v="1"/>
    <n v="819"/>
    <x v="7"/>
  </r>
  <r>
    <n v="1772"/>
    <s v="Rosa Garcia Perez"/>
    <x v="1"/>
    <s v="Other"/>
    <n v="31"/>
    <x v="0"/>
    <x v="689"/>
    <x v="2"/>
    <x v="2"/>
    <x v="1"/>
    <n v="2903"/>
    <x v="3"/>
  </r>
  <r>
    <n v="1773"/>
    <s v="Eva Ramirez Figueroa"/>
    <x v="3"/>
    <s v="Female"/>
    <n v="57"/>
    <x v="1"/>
    <x v="690"/>
    <x v="278"/>
    <x v="1"/>
    <x v="0"/>
    <n v="1872"/>
    <x v="2"/>
  </r>
  <r>
    <n v="1774"/>
    <s v="Rachel Flores Flores"/>
    <x v="5"/>
    <s v="Female"/>
    <n v="38"/>
    <x v="0"/>
    <x v="691"/>
    <x v="2"/>
    <x v="2"/>
    <x v="1"/>
    <n v="1927"/>
    <x v="2"/>
  </r>
  <r>
    <n v="1775"/>
    <s v="Cameron Domingo Bautista"/>
    <x v="0"/>
    <s v="Other"/>
    <n v="39"/>
    <x v="0"/>
    <x v="628"/>
    <x v="279"/>
    <x v="6"/>
    <x v="0"/>
    <n v="136"/>
    <x v="1"/>
  </r>
  <r>
    <n v="1776"/>
    <s v="Alvin Ramos Ramos"/>
    <x v="1"/>
    <s v="Male"/>
    <n v="36"/>
    <x v="0"/>
    <x v="692"/>
    <x v="2"/>
    <x v="2"/>
    <x v="1"/>
    <n v="1592"/>
    <x v="0"/>
  </r>
  <r>
    <n v="1777"/>
    <s v="Cristina Bautista Go"/>
    <x v="2"/>
    <s v="Other"/>
    <n v="46"/>
    <x v="2"/>
    <x v="693"/>
    <x v="280"/>
    <x v="1"/>
    <x v="0"/>
    <n v="188"/>
    <x v="1"/>
  </r>
  <r>
    <n v="1778"/>
    <s v="Cristina Lazo"/>
    <x v="1"/>
    <s v="Other"/>
    <n v="51"/>
    <x v="1"/>
    <x v="21"/>
    <x v="2"/>
    <x v="2"/>
    <x v="1"/>
    <n v="1655"/>
    <x v="0"/>
  </r>
  <r>
    <n v="1779"/>
    <s v="Patricia Flores"/>
    <x v="1"/>
    <s v="Female"/>
    <n v="45"/>
    <x v="2"/>
    <x v="694"/>
    <x v="2"/>
    <x v="2"/>
    <x v="1"/>
    <n v="1867"/>
    <x v="2"/>
  </r>
  <r>
    <n v="1780"/>
    <s v="Gerald Navarro Suarez"/>
    <x v="0"/>
    <s v="Male"/>
    <n v="37"/>
    <x v="0"/>
    <x v="695"/>
    <x v="2"/>
    <x v="2"/>
    <x v="1"/>
    <n v="2411"/>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39"/>
    <x v="8"/>
  </r>
  <r>
    <n v="1785"/>
    <s v="Juan Aguilar Del Rosario"/>
    <x v="2"/>
    <s v="Other"/>
    <n v="28"/>
    <x v="3"/>
    <x v="700"/>
    <x v="284"/>
    <x v="0"/>
    <x v="0"/>
    <n v="671"/>
    <x v="5"/>
  </r>
  <r>
    <n v="1786"/>
    <s v="Juan Elegado"/>
    <x v="0"/>
    <s v="Male"/>
    <n v="34"/>
    <x v="0"/>
    <x v="701"/>
    <x v="2"/>
    <x v="2"/>
    <x v="1"/>
    <n v="716"/>
    <x v="5"/>
  </r>
  <r>
    <n v="1787"/>
    <s v="Danilo Torres Bautista"/>
    <x v="1"/>
    <s v="Other"/>
    <n v="36"/>
    <x v="0"/>
    <x v="702"/>
    <x v="2"/>
    <x v="2"/>
    <x v="1"/>
    <n v="1066"/>
    <x v="7"/>
  </r>
  <r>
    <n v="1788"/>
    <s v="Ferdi Roque"/>
    <x v="4"/>
    <s v="Male"/>
    <n v="27"/>
    <x v="3"/>
    <x v="328"/>
    <x v="61"/>
    <x v="6"/>
    <x v="0"/>
    <n v="256"/>
    <x v="1"/>
  </r>
  <r>
    <n v="1789"/>
    <s v="Warren Dalisay"/>
    <x v="4"/>
    <s v="Male"/>
    <n v="42"/>
    <x v="2"/>
    <x v="703"/>
    <x v="2"/>
    <x v="2"/>
    <x v="1"/>
    <n v="2927"/>
    <x v="8"/>
  </r>
  <r>
    <n v="1790"/>
    <s v="Carlos Dalisay"/>
    <x v="3"/>
    <s v="Other"/>
    <n v="57"/>
    <x v="1"/>
    <x v="704"/>
    <x v="285"/>
    <x v="4"/>
    <x v="0"/>
    <n v="289"/>
    <x v="1"/>
  </r>
  <r>
    <n v="1791"/>
    <s v="Hernando Sy"/>
    <x v="5"/>
    <s v="Male"/>
    <n v="45"/>
    <x v="2"/>
    <x v="705"/>
    <x v="2"/>
    <x v="2"/>
    <x v="1"/>
    <n v="2727"/>
    <x v="3"/>
  </r>
  <r>
    <n v="1792"/>
    <s v="Vanessa Co"/>
    <x v="2"/>
    <s v="Female"/>
    <n v="34"/>
    <x v="0"/>
    <x v="358"/>
    <x v="2"/>
    <x v="2"/>
    <x v="1"/>
    <n v="2439"/>
    <x v="6"/>
  </r>
  <r>
    <n v="1793"/>
    <s v="Grace Guevarra"/>
    <x v="3"/>
    <s v="Female"/>
    <n v="40"/>
    <x v="2"/>
    <x v="706"/>
    <x v="2"/>
    <x v="2"/>
    <x v="1"/>
    <n v="1096"/>
    <x v="4"/>
  </r>
  <r>
    <n v="1794"/>
    <s v="Gina Sy Wong"/>
    <x v="4"/>
    <s v="Female"/>
    <n v="44"/>
    <x v="2"/>
    <x v="707"/>
    <x v="286"/>
    <x v="4"/>
    <x v="0"/>
    <n v="546"/>
    <x v="5"/>
  </r>
  <r>
    <n v="1795"/>
    <s v="Eduardo Go Cueto"/>
    <x v="1"/>
    <s v="Male"/>
    <n v="44"/>
    <x v="2"/>
    <x v="708"/>
    <x v="287"/>
    <x v="6"/>
    <x v="0"/>
    <n v="412"/>
    <x v="5"/>
  </r>
  <r>
    <n v="1796"/>
    <s v="Mark Sy Ramos"/>
    <x v="5"/>
    <s v="Male"/>
    <n v="30"/>
    <x v="0"/>
    <x v="98"/>
    <x v="2"/>
    <x v="2"/>
    <x v="1"/>
    <n v="1078"/>
    <x v="7"/>
  </r>
  <r>
    <n v="1797"/>
    <s v="Manuel Pascual Uy"/>
    <x v="1"/>
    <s v="Other"/>
    <n v="40"/>
    <x v="2"/>
    <x v="389"/>
    <x v="2"/>
    <x v="2"/>
    <x v="1"/>
    <n v="2498"/>
    <x v="6"/>
  </r>
  <r>
    <n v="1798"/>
    <s v="Cardo Delos Reyes"/>
    <x v="0"/>
    <s v="Male"/>
    <n v="23"/>
    <x v="3"/>
    <x v="359"/>
    <x v="288"/>
    <x v="6"/>
    <x v="0"/>
    <n v="525"/>
    <x v="5"/>
  </r>
  <r>
    <n v="1799"/>
    <s v="Miguel Gonzales"/>
    <x v="2"/>
    <s v="Male"/>
    <n v="58"/>
    <x v="1"/>
    <x v="709"/>
    <x v="2"/>
    <x v="2"/>
    <x v="1"/>
    <n v="2772"/>
    <x v="3"/>
  </r>
  <r>
    <n v="1800"/>
    <s v="Luisa Trinidad"/>
    <x v="0"/>
    <s v="Other"/>
    <n v="64"/>
    <x v="4"/>
    <x v="194"/>
    <x v="289"/>
    <x v="7"/>
    <x v="0"/>
    <n v="1309"/>
    <x v="4"/>
  </r>
  <r>
    <n v="1801"/>
    <s v="Taylor Santos Lacson"/>
    <x v="4"/>
    <s v="Other"/>
    <n v="32"/>
    <x v="0"/>
    <x v="710"/>
    <x v="290"/>
    <x v="4"/>
    <x v="0"/>
    <n v="1152"/>
    <x v="4"/>
  </r>
  <r>
    <n v="1802"/>
    <s v="Ivy Sia"/>
    <x v="4"/>
    <s v="Female"/>
    <n v="51"/>
    <x v="1"/>
    <x v="711"/>
    <x v="2"/>
    <x v="2"/>
    <x v="1"/>
    <n v="1222"/>
    <x v="4"/>
  </r>
  <r>
    <n v="1803"/>
    <s v="Arnel Cruz"/>
    <x v="3"/>
    <s v="Male"/>
    <n v="46"/>
    <x v="2"/>
    <x v="694"/>
    <x v="291"/>
    <x v="0"/>
    <x v="0"/>
    <n v="366"/>
    <x v="5"/>
  </r>
  <r>
    <n v="1804"/>
    <s v="Olive Go Diaz"/>
    <x v="1"/>
    <s v="Female"/>
    <n v="51"/>
    <x v="1"/>
    <x v="712"/>
    <x v="292"/>
    <x v="6"/>
    <x v="0"/>
    <n v="213"/>
    <x v="1"/>
  </r>
  <r>
    <n v="1805"/>
    <s v="Victor Uy Viray"/>
    <x v="1"/>
    <s v="Male"/>
    <n v="28"/>
    <x v="3"/>
    <x v="713"/>
    <x v="2"/>
    <x v="2"/>
    <x v="1"/>
    <n v="2426"/>
    <x v="6"/>
  </r>
  <r>
    <n v="1806"/>
    <s v="Bea Camacho"/>
    <x v="0"/>
    <s v="Female"/>
    <n v="57"/>
    <x v="1"/>
    <x v="714"/>
    <x v="293"/>
    <x v="0"/>
    <x v="0"/>
    <n v="106"/>
    <x v="1"/>
  </r>
  <r>
    <n v="1807"/>
    <s v="Xander Obispo"/>
    <x v="5"/>
    <s v="Male"/>
    <n v="56"/>
    <x v="1"/>
    <x v="715"/>
    <x v="294"/>
    <x v="9"/>
    <x v="0"/>
    <n v="908"/>
    <x v="7"/>
  </r>
  <r>
    <n v="1808"/>
    <s v="Teresa Navarro Cruz"/>
    <x v="5"/>
    <s v="Other"/>
    <n v="52"/>
    <x v="1"/>
    <x v="716"/>
    <x v="2"/>
    <x v="2"/>
    <x v="1"/>
    <n v="2157"/>
    <x v="2"/>
  </r>
  <r>
    <n v="1809"/>
    <s v="Bea Castro Cruz"/>
    <x v="0"/>
    <s v="Female"/>
    <n v="47"/>
    <x v="2"/>
    <x v="717"/>
    <x v="295"/>
    <x v="6"/>
    <x v="0"/>
    <n v="800"/>
    <x v="7"/>
  </r>
  <r>
    <n v="1810"/>
    <s v="Gerald Quiambao"/>
    <x v="0"/>
    <s v="Male"/>
    <n v="53"/>
    <x v="1"/>
    <x v="718"/>
    <x v="2"/>
    <x v="2"/>
    <x v="1"/>
    <n v="2207"/>
    <x v="6"/>
  </r>
  <r>
    <n v="1811"/>
    <s v="Jerome Tuazon"/>
    <x v="5"/>
    <s v="Male"/>
    <n v="39"/>
    <x v="0"/>
    <x v="719"/>
    <x v="2"/>
    <x v="2"/>
    <x v="1"/>
    <n v="1508"/>
    <x v="0"/>
  </r>
  <r>
    <n v="1812"/>
    <s v="Ferdi Lopez Flores"/>
    <x v="2"/>
    <s v="Male"/>
    <n v="39"/>
    <x v="0"/>
    <x v="642"/>
    <x v="2"/>
    <x v="2"/>
    <x v="1"/>
    <n v="277"/>
    <x v="1"/>
  </r>
  <r>
    <n v="1813"/>
    <s v="Rosa Crisostomo"/>
    <x v="0"/>
    <s v="Female"/>
    <n v="47"/>
    <x v="2"/>
    <x v="720"/>
    <x v="296"/>
    <x v="9"/>
    <x v="0"/>
    <n v="304"/>
    <x v="1"/>
  </r>
  <r>
    <n v="1814"/>
    <s v="Karen Ramirez Lacson"/>
    <x v="4"/>
    <s v="Female"/>
    <n v="53"/>
    <x v="1"/>
    <x v="721"/>
    <x v="2"/>
    <x v="2"/>
    <x v="1"/>
    <n v="2976"/>
    <x v="8"/>
  </r>
  <r>
    <n v="1815"/>
    <s v="Elena Fernandez Jacinto"/>
    <x v="1"/>
    <s v="Female"/>
    <n v="37"/>
    <x v="0"/>
    <x v="722"/>
    <x v="2"/>
    <x v="2"/>
    <x v="1"/>
    <n v="1713"/>
    <x v="0"/>
  </r>
  <r>
    <n v="1816"/>
    <s v="Morgan Lopez"/>
    <x v="2"/>
    <s v="Other"/>
    <n v="27"/>
    <x v="3"/>
    <x v="723"/>
    <x v="142"/>
    <x v="4"/>
    <x v="0"/>
    <n v="146"/>
    <x v="1"/>
  </r>
  <r>
    <n v="1817"/>
    <s v="Morgan Santiago"/>
    <x v="0"/>
    <s v="Other"/>
    <n v="27"/>
    <x v="3"/>
    <x v="231"/>
    <x v="297"/>
    <x v="0"/>
    <x v="0"/>
    <n v="197"/>
    <x v="1"/>
  </r>
  <r>
    <n v="1818"/>
    <s v="Lourdes Domingo"/>
    <x v="1"/>
    <s v="Female"/>
    <n v="49"/>
    <x v="2"/>
    <x v="554"/>
    <x v="2"/>
    <x v="2"/>
    <x v="1"/>
    <n v="1034"/>
    <x v="7"/>
  </r>
  <r>
    <n v="1819"/>
    <s v="Maria Uy"/>
    <x v="4"/>
    <s v="Female"/>
    <n v="33"/>
    <x v="0"/>
    <x v="724"/>
    <x v="2"/>
    <x v="2"/>
    <x v="1"/>
    <n v="1308"/>
    <x v="4"/>
  </r>
  <r>
    <n v="1820"/>
    <s v="Teresita Domingo"/>
    <x v="0"/>
    <s v="Female"/>
    <n v="31"/>
    <x v="0"/>
    <x v="536"/>
    <x v="298"/>
    <x v="6"/>
    <x v="0"/>
    <n v="1789"/>
    <x v="0"/>
  </r>
  <r>
    <n v="1821"/>
    <s v="Ana Roque"/>
    <x v="0"/>
    <s v="Other"/>
    <n v="29"/>
    <x v="3"/>
    <x v="725"/>
    <x v="2"/>
    <x v="2"/>
    <x v="1"/>
    <n v="1350"/>
    <x v="4"/>
  </r>
  <r>
    <n v="1822"/>
    <s v="Teresa Navarro Aquino"/>
    <x v="0"/>
    <s v="Other"/>
    <n v="22"/>
    <x v="3"/>
    <x v="658"/>
    <x v="299"/>
    <x v="1"/>
    <x v="0"/>
    <n v="110"/>
    <x v="1"/>
  </r>
  <r>
    <n v="1823"/>
    <s v="Jamie Delos Reyes"/>
    <x v="4"/>
    <s v="Other"/>
    <n v="48"/>
    <x v="2"/>
    <x v="726"/>
    <x v="2"/>
    <x v="2"/>
    <x v="1"/>
    <n v="2855"/>
    <x v="3"/>
  </r>
  <r>
    <n v="1824"/>
    <s v="Pete Sia"/>
    <x v="1"/>
    <s v="Male"/>
    <n v="54"/>
    <x v="1"/>
    <x v="727"/>
    <x v="2"/>
    <x v="2"/>
    <x v="1"/>
    <n v="1895"/>
    <x v="2"/>
  </r>
  <r>
    <n v="1825"/>
    <s v="Diosdado Flores Jimenez"/>
    <x v="4"/>
    <s v="Male"/>
    <n v="38"/>
    <x v="0"/>
    <x v="728"/>
    <x v="2"/>
    <x v="2"/>
    <x v="1"/>
    <n v="945"/>
    <x v="7"/>
  </r>
  <r>
    <n v="1826"/>
    <s v="Bryan Diaz Ramos"/>
    <x v="2"/>
    <s v="Male"/>
    <n v="49"/>
    <x v="2"/>
    <x v="729"/>
    <x v="300"/>
    <x v="1"/>
    <x v="0"/>
    <n v="193"/>
    <x v="1"/>
  </r>
  <r>
    <n v="1827"/>
    <s v="Carlos Soriano Rivera"/>
    <x v="4"/>
    <s v="Other"/>
    <n v="29"/>
    <x v="3"/>
    <x v="730"/>
    <x v="2"/>
    <x v="2"/>
    <x v="1"/>
    <n v="975"/>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90"/>
    <x v="7"/>
  </r>
  <r>
    <n v="1831"/>
    <s v="Eduardo Castro Lopez"/>
    <x v="4"/>
    <s v="Other"/>
    <n v="57"/>
    <x v="1"/>
    <x v="549"/>
    <x v="303"/>
    <x v="9"/>
    <x v="0"/>
    <n v="186"/>
    <x v="1"/>
  </r>
  <r>
    <n v="1832"/>
    <s v="Paolo Sy Ramos"/>
    <x v="2"/>
    <s v="Male"/>
    <n v="27"/>
    <x v="3"/>
    <x v="568"/>
    <x v="2"/>
    <x v="2"/>
    <x v="1"/>
    <n v="2506"/>
    <x v="6"/>
  </r>
  <r>
    <n v="1833"/>
    <s v="Larry Tolentino"/>
    <x v="2"/>
    <s v="Male"/>
    <n v="49"/>
    <x v="2"/>
    <x v="732"/>
    <x v="304"/>
    <x v="8"/>
    <x v="0"/>
    <n v="1739"/>
    <x v="0"/>
  </r>
  <r>
    <n v="1834"/>
    <s v="Gani Dela Torre"/>
    <x v="0"/>
    <s v="Male"/>
    <n v="49"/>
    <x v="2"/>
    <x v="733"/>
    <x v="2"/>
    <x v="2"/>
    <x v="1"/>
    <n v="284"/>
    <x v="1"/>
  </r>
  <r>
    <n v="1835"/>
    <s v="Belinda Torres Lazo"/>
    <x v="2"/>
    <s v="Female"/>
    <n v="29"/>
    <x v="3"/>
    <x v="734"/>
    <x v="2"/>
    <x v="2"/>
    <x v="1"/>
    <n v="1121"/>
    <x v="4"/>
  </r>
  <r>
    <n v="1836"/>
    <s v="Kevin Castro"/>
    <x v="5"/>
    <s v="Male"/>
    <n v="23"/>
    <x v="3"/>
    <x v="735"/>
    <x v="2"/>
    <x v="2"/>
    <x v="1"/>
    <n v="2464"/>
    <x v="6"/>
  </r>
  <r>
    <n v="1837"/>
    <s v="Grace Ang Ignacio"/>
    <x v="4"/>
    <s v="Female"/>
    <n v="57"/>
    <x v="1"/>
    <x v="187"/>
    <x v="305"/>
    <x v="0"/>
    <x v="0"/>
    <n v="403"/>
    <x v="5"/>
  </r>
  <r>
    <n v="1838"/>
    <s v="Ofelia Navarro"/>
    <x v="1"/>
    <s v="Female"/>
    <n v="58"/>
    <x v="1"/>
    <x v="384"/>
    <x v="306"/>
    <x v="4"/>
    <x v="0"/>
    <n v="714"/>
    <x v="5"/>
  </r>
  <r>
    <n v="1839"/>
    <s v="Yvonne Uy Umali"/>
    <x v="0"/>
    <s v="Female"/>
    <n v="43"/>
    <x v="2"/>
    <x v="19"/>
    <x v="2"/>
    <x v="2"/>
    <x v="1"/>
    <n v="2830"/>
    <x v="3"/>
  </r>
  <r>
    <n v="1840"/>
    <s v="Carmen Natividad"/>
    <x v="3"/>
    <s v="Other"/>
    <n v="51"/>
    <x v="1"/>
    <x v="528"/>
    <x v="307"/>
    <x v="9"/>
    <x v="0"/>
    <n v="231"/>
    <x v="1"/>
  </r>
  <r>
    <n v="1841"/>
    <s v="Ana Tan Salazar"/>
    <x v="1"/>
    <s v="Other"/>
    <n v="26"/>
    <x v="3"/>
    <x v="736"/>
    <x v="2"/>
    <x v="2"/>
    <x v="1"/>
    <n v="547"/>
    <x v="5"/>
  </r>
  <r>
    <n v="1842"/>
    <s v="Imelda Soriano Lazo"/>
    <x v="4"/>
    <s v="Female"/>
    <n v="49"/>
    <x v="2"/>
    <x v="300"/>
    <x v="2"/>
    <x v="2"/>
    <x v="1"/>
    <n v="1970"/>
    <x v="2"/>
  </r>
  <r>
    <n v="1843"/>
    <s v="Mae Diaz"/>
    <x v="0"/>
    <s v="Female"/>
    <n v="56"/>
    <x v="1"/>
    <x v="421"/>
    <x v="308"/>
    <x v="5"/>
    <x v="0"/>
    <n v="306"/>
    <x v="1"/>
  </r>
  <r>
    <n v="1844"/>
    <s v="Celine Uy Santiago"/>
    <x v="0"/>
    <s v="Female"/>
    <n v="55"/>
    <x v="1"/>
    <x v="737"/>
    <x v="2"/>
    <x v="2"/>
    <x v="1"/>
    <n v="2370"/>
    <x v="6"/>
  </r>
  <r>
    <n v="1845"/>
    <s v="Gani Gonzales Cruz"/>
    <x v="1"/>
    <s v="Male"/>
    <n v="41"/>
    <x v="2"/>
    <x v="738"/>
    <x v="2"/>
    <x v="2"/>
    <x v="1"/>
    <n v="1461"/>
    <x v="0"/>
  </r>
  <r>
    <n v="1846"/>
    <s v="Gloria Gonzales Pascual"/>
    <x v="4"/>
    <s v="Other"/>
    <n v="41"/>
    <x v="2"/>
    <x v="739"/>
    <x v="309"/>
    <x v="5"/>
    <x v="0"/>
    <n v="324"/>
    <x v="1"/>
  </r>
  <r>
    <n v="1847"/>
    <s v="Pilar Solis"/>
    <x v="4"/>
    <s v="Female"/>
    <n v="40"/>
    <x v="2"/>
    <x v="740"/>
    <x v="2"/>
    <x v="2"/>
    <x v="1"/>
    <n v="1438"/>
    <x v="4"/>
  </r>
  <r>
    <n v="1848"/>
    <s v="Rodel Torres Chan"/>
    <x v="1"/>
    <s v="Other"/>
    <n v="40"/>
    <x v="2"/>
    <x v="741"/>
    <x v="310"/>
    <x v="6"/>
    <x v="0"/>
    <n v="381"/>
    <x v="5"/>
  </r>
  <r>
    <n v="1849"/>
    <s v="Kath Salazar"/>
    <x v="1"/>
    <s v="Female"/>
    <n v="58"/>
    <x v="1"/>
    <x v="742"/>
    <x v="2"/>
    <x v="2"/>
    <x v="1"/>
    <n v="2138"/>
    <x v="2"/>
  </r>
  <r>
    <n v="1850"/>
    <s v="Queenie Mendoza Cruz"/>
    <x v="4"/>
    <s v="Female"/>
    <n v="56"/>
    <x v="1"/>
    <x v="743"/>
    <x v="311"/>
    <x v="6"/>
    <x v="0"/>
    <n v="149"/>
    <x v="1"/>
  </r>
  <r>
    <n v="1851"/>
    <s v="Warren Ramos"/>
    <x v="4"/>
    <s v="Male"/>
    <n v="29"/>
    <x v="3"/>
    <x v="744"/>
    <x v="2"/>
    <x v="2"/>
    <x v="1"/>
    <n v="1859"/>
    <x v="2"/>
  </r>
  <r>
    <n v="1852"/>
    <s v="Juan Sy Uy"/>
    <x v="0"/>
    <s v="Other"/>
    <n v="30"/>
    <x v="0"/>
    <x v="745"/>
    <x v="2"/>
    <x v="2"/>
    <x v="1"/>
    <n v="1577"/>
    <x v="0"/>
  </r>
  <r>
    <n v="1853"/>
    <s v="Aldrin Corpuz"/>
    <x v="3"/>
    <s v="Male"/>
    <n v="23"/>
    <x v="3"/>
    <x v="746"/>
    <x v="2"/>
    <x v="2"/>
    <x v="1"/>
    <n v="3102"/>
    <x v="8"/>
  </r>
  <r>
    <n v="1854"/>
    <s v="Arnel Manalang"/>
    <x v="1"/>
    <s v="Other"/>
    <n v="51"/>
    <x v="1"/>
    <x v="747"/>
    <x v="2"/>
    <x v="2"/>
    <x v="1"/>
    <n v="1987"/>
    <x v="2"/>
  </r>
  <r>
    <n v="1855"/>
    <s v="Morgan Ramirez"/>
    <x v="1"/>
    <s v="Other"/>
    <n v="62"/>
    <x v="4"/>
    <x v="75"/>
    <x v="312"/>
    <x v="7"/>
    <x v="0"/>
    <n v="376"/>
    <x v="5"/>
  </r>
  <r>
    <n v="1856"/>
    <s v="Rodel Guevarra"/>
    <x v="3"/>
    <s v="Other"/>
    <n v="34"/>
    <x v="0"/>
    <x v="748"/>
    <x v="2"/>
    <x v="2"/>
    <x v="1"/>
    <n v="606"/>
    <x v="5"/>
  </r>
  <r>
    <n v="1857"/>
    <s v="Carmen Ramos Perez"/>
    <x v="0"/>
    <s v="Other"/>
    <n v="49"/>
    <x v="2"/>
    <x v="749"/>
    <x v="313"/>
    <x v="6"/>
    <x v="0"/>
    <n v="748"/>
    <x v="7"/>
  </r>
  <r>
    <n v="1858"/>
    <s v="Jacqueline Ang Bondoc"/>
    <x v="5"/>
    <s v="Female"/>
    <n v="51"/>
    <x v="1"/>
    <x v="750"/>
    <x v="2"/>
    <x v="2"/>
    <x v="1"/>
    <n v="3089"/>
    <x v="8"/>
  </r>
  <r>
    <n v="1859"/>
    <s v="Joselito Crisostomo"/>
    <x v="5"/>
    <s v="Male"/>
    <n v="25"/>
    <x v="3"/>
    <x v="428"/>
    <x v="93"/>
    <x v="6"/>
    <x v="0"/>
    <n v="777"/>
    <x v="7"/>
  </r>
  <r>
    <n v="1860"/>
    <s v="Jose Castro Castro"/>
    <x v="4"/>
    <s v="Male"/>
    <n v="45"/>
    <x v="2"/>
    <x v="751"/>
    <x v="2"/>
    <x v="2"/>
    <x v="1"/>
    <n v="2381"/>
    <x v="6"/>
  </r>
  <r>
    <n v="1861"/>
    <s v="Mylene Soriano Diaz"/>
    <x v="4"/>
    <s v="Female"/>
    <n v="22"/>
    <x v="3"/>
    <x v="752"/>
    <x v="2"/>
    <x v="2"/>
    <x v="1"/>
    <n v="1955"/>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5"/>
    <x v="4"/>
  </r>
  <r>
    <n v="1867"/>
    <s v="Dennis Diaz Santos"/>
    <x v="0"/>
    <s v="Male"/>
    <n v="23"/>
    <x v="3"/>
    <x v="756"/>
    <x v="240"/>
    <x v="9"/>
    <x v="0"/>
    <n v="1810"/>
    <x v="0"/>
  </r>
  <r>
    <n v="1868"/>
    <s v="Samuel Villanueva"/>
    <x v="1"/>
    <s v="Male"/>
    <n v="22"/>
    <x v="3"/>
    <x v="757"/>
    <x v="2"/>
    <x v="2"/>
    <x v="1"/>
    <n v="2182"/>
    <x v="2"/>
  </r>
  <r>
    <n v="1869"/>
    <s v="Ramon Reyes Umali"/>
    <x v="1"/>
    <s v="Male"/>
    <n v="25"/>
    <x v="3"/>
    <x v="758"/>
    <x v="2"/>
    <x v="2"/>
    <x v="1"/>
    <n v="542"/>
    <x v="5"/>
  </r>
  <r>
    <n v="1870"/>
    <s v="Roberto Mercado Mangubat"/>
    <x v="0"/>
    <s v="Male"/>
    <n v="60"/>
    <x v="4"/>
    <x v="759"/>
    <x v="318"/>
    <x v="7"/>
    <x v="0"/>
    <n v="1059"/>
    <x v="7"/>
  </r>
  <r>
    <n v="1871"/>
    <s v="Lourdes Bautista Castro"/>
    <x v="3"/>
    <s v="Other"/>
    <n v="49"/>
    <x v="2"/>
    <x v="760"/>
    <x v="2"/>
    <x v="2"/>
    <x v="1"/>
    <n v="2715"/>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40"/>
    <x v="5"/>
  </r>
  <r>
    <n v="1875"/>
    <s v="Leonora Domingo Macapagal"/>
    <x v="1"/>
    <s v="Female"/>
    <n v="25"/>
    <x v="3"/>
    <x v="762"/>
    <x v="2"/>
    <x v="2"/>
    <x v="1"/>
    <n v="678"/>
    <x v="5"/>
  </r>
  <r>
    <n v="1876"/>
    <s v="Christian Vega Narvasa"/>
    <x v="4"/>
    <s v="Male"/>
    <n v="49"/>
    <x v="2"/>
    <x v="763"/>
    <x v="321"/>
    <x v="0"/>
    <x v="0"/>
    <n v="270"/>
    <x v="1"/>
  </r>
  <r>
    <n v="1877"/>
    <s v="Cristina Santos Buenaventura"/>
    <x v="4"/>
    <s v="Other"/>
    <n v="30"/>
    <x v="0"/>
    <x v="764"/>
    <x v="2"/>
    <x v="2"/>
    <x v="1"/>
    <n v="2503"/>
    <x v="6"/>
  </r>
  <r>
    <n v="1878"/>
    <s v="Kristoffer Vega"/>
    <x v="0"/>
    <s v="Male"/>
    <n v="30"/>
    <x v="0"/>
    <x v="765"/>
    <x v="322"/>
    <x v="6"/>
    <x v="0"/>
    <n v="313"/>
    <x v="1"/>
  </r>
  <r>
    <n v="1879"/>
    <s v="Fe Perez"/>
    <x v="1"/>
    <s v="Female"/>
    <n v="33"/>
    <x v="0"/>
    <x v="766"/>
    <x v="2"/>
    <x v="2"/>
    <x v="1"/>
    <n v="371"/>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21"/>
    <x v="8"/>
  </r>
  <r>
    <n v="1885"/>
    <s v="Kevin Ignacio"/>
    <x v="2"/>
    <s v="Male"/>
    <n v="34"/>
    <x v="0"/>
    <x v="770"/>
    <x v="2"/>
    <x v="2"/>
    <x v="1"/>
    <n v="1857"/>
    <x v="2"/>
  </r>
  <r>
    <n v="1886"/>
    <s v="Miguel Santiago Fajardo"/>
    <x v="3"/>
    <s v="Other"/>
    <n v="48"/>
    <x v="2"/>
    <x v="771"/>
    <x v="327"/>
    <x v="4"/>
    <x v="0"/>
    <n v="625"/>
    <x v="5"/>
  </r>
  <r>
    <n v="1887"/>
    <s v="Xander Diaz"/>
    <x v="4"/>
    <s v="Male"/>
    <n v="36"/>
    <x v="0"/>
    <x v="772"/>
    <x v="2"/>
    <x v="2"/>
    <x v="1"/>
    <n v="2917"/>
    <x v="3"/>
  </r>
  <r>
    <n v="1888"/>
    <s v="Celine Flores"/>
    <x v="4"/>
    <s v="Female"/>
    <n v="36"/>
    <x v="0"/>
    <x v="773"/>
    <x v="2"/>
    <x v="2"/>
    <x v="1"/>
    <n v="2888"/>
    <x v="3"/>
  </r>
  <r>
    <n v="1889"/>
    <s v="Josephine Rivera Aquino"/>
    <x v="3"/>
    <s v="Other"/>
    <n v="34"/>
    <x v="0"/>
    <x v="774"/>
    <x v="2"/>
    <x v="2"/>
    <x v="1"/>
    <n v="2773"/>
    <x v="3"/>
  </r>
  <r>
    <n v="1890"/>
    <s v="Cardo Santiago Soriano"/>
    <x v="5"/>
    <s v="Male"/>
    <n v="53"/>
    <x v="1"/>
    <x v="775"/>
    <x v="2"/>
    <x v="2"/>
    <x v="1"/>
    <n v="1574"/>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601"/>
    <x v="0"/>
  </r>
  <r>
    <n v="1895"/>
    <s v="Estrella Garcia Bagtas"/>
    <x v="4"/>
    <s v="Female"/>
    <n v="25"/>
    <x v="3"/>
    <x v="779"/>
    <x v="2"/>
    <x v="2"/>
    <x v="1"/>
    <n v="1636"/>
    <x v="0"/>
  </r>
  <r>
    <n v="1896"/>
    <s v="Danilo Vega"/>
    <x v="2"/>
    <s v="Other"/>
    <n v="27"/>
    <x v="3"/>
    <x v="780"/>
    <x v="330"/>
    <x v="9"/>
    <x v="0"/>
    <n v="246"/>
    <x v="1"/>
  </r>
  <r>
    <n v="1897"/>
    <s v="Avery Miranda"/>
    <x v="4"/>
    <s v="Other"/>
    <n v="38"/>
    <x v="0"/>
    <x v="781"/>
    <x v="2"/>
    <x v="2"/>
    <x v="1"/>
    <n v="2326"/>
    <x v="6"/>
  </r>
  <r>
    <n v="1898"/>
    <s v="Vanessa Vergara"/>
    <x v="3"/>
    <s v="Female"/>
    <n v="40"/>
    <x v="2"/>
    <x v="687"/>
    <x v="2"/>
    <x v="2"/>
    <x v="1"/>
    <n v="1952"/>
    <x v="2"/>
  </r>
  <r>
    <n v="1899"/>
    <s v="Queenie Lim"/>
    <x v="5"/>
    <s v="Female"/>
    <n v="53"/>
    <x v="1"/>
    <x v="782"/>
    <x v="2"/>
    <x v="2"/>
    <x v="1"/>
    <n v="2495"/>
    <x v="6"/>
  </r>
  <r>
    <n v="1900"/>
    <s v="Fe Buenaventura"/>
    <x v="1"/>
    <s v="Female"/>
    <n v="58"/>
    <x v="1"/>
    <x v="783"/>
    <x v="2"/>
    <x v="2"/>
    <x v="1"/>
    <n v="843"/>
    <x v="7"/>
  </r>
  <r>
    <n v="1901"/>
    <s v="Sue Ramos Bautista"/>
    <x v="4"/>
    <s v="Female"/>
    <n v="47"/>
    <x v="2"/>
    <x v="400"/>
    <x v="2"/>
    <x v="2"/>
    <x v="1"/>
    <n v="2248"/>
    <x v="6"/>
  </r>
  <r>
    <n v="1902"/>
    <s v="Danilo Tan Tan"/>
    <x v="4"/>
    <s v="Other"/>
    <n v="52"/>
    <x v="1"/>
    <x v="126"/>
    <x v="2"/>
    <x v="2"/>
    <x v="1"/>
    <n v="408"/>
    <x v="5"/>
  </r>
  <r>
    <n v="1903"/>
    <s v="Maricel Ocampo"/>
    <x v="5"/>
    <s v="Other"/>
    <n v="40"/>
    <x v="2"/>
    <x v="348"/>
    <x v="2"/>
    <x v="2"/>
    <x v="1"/>
    <n v="1771"/>
    <x v="0"/>
  </r>
  <r>
    <n v="1904"/>
    <s v="Cristina Tan Quiambao"/>
    <x v="1"/>
    <s v="Other"/>
    <n v="42"/>
    <x v="2"/>
    <x v="784"/>
    <x v="2"/>
    <x v="2"/>
    <x v="1"/>
    <n v="779"/>
    <x v="7"/>
  </r>
  <r>
    <n v="1905"/>
    <s v="Leonora Uy Tuazon"/>
    <x v="3"/>
    <s v="Female"/>
    <n v="46"/>
    <x v="2"/>
    <x v="785"/>
    <x v="2"/>
    <x v="2"/>
    <x v="1"/>
    <n v="2846"/>
    <x v="3"/>
  </r>
  <r>
    <n v="1906"/>
    <s v="Jacqueline Ocampo"/>
    <x v="0"/>
    <s v="Female"/>
    <n v="31"/>
    <x v="0"/>
    <x v="786"/>
    <x v="2"/>
    <x v="2"/>
    <x v="1"/>
    <n v="2679"/>
    <x v="3"/>
  </r>
  <r>
    <n v="1907"/>
    <s v="Sarah Pascual Co"/>
    <x v="0"/>
    <s v="Female"/>
    <n v="33"/>
    <x v="0"/>
    <x v="787"/>
    <x v="2"/>
    <x v="2"/>
    <x v="1"/>
    <n v="2822"/>
    <x v="3"/>
  </r>
  <r>
    <n v="1908"/>
    <s v="Imelda Dalisay"/>
    <x v="5"/>
    <s v="Female"/>
    <n v="24"/>
    <x v="3"/>
    <x v="788"/>
    <x v="2"/>
    <x v="2"/>
    <x v="1"/>
    <n v="1597"/>
    <x v="0"/>
  </r>
  <r>
    <n v="1909"/>
    <s v="Hazel Flores Del Rosario"/>
    <x v="4"/>
    <s v="Female"/>
    <n v="28"/>
    <x v="3"/>
    <x v="154"/>
    <x v="2"/>
    <x v="2"/>
    <x v="1"/>
    <n v="2578"/>
    <x v="3"/>
  </r>
  <r>
    <n v="1910"/>
    <s v="Grace Go Ong"/>
    <x v="1"/>
    <s v="Female"/>
    <n v="48"/>
    <x v="2"/>
    <x v="592"/>
    <x v="2"/>
    <x v="2"/>
    <x v="1"/>
    <n v="384"/>
    <x v="5"/>
  </r>
  <r>
    <n v="1911"/>
    <s v="Teresita Ang Elegado"/>
    <x v="4"/>
    <s v="Female"/>
    <n v="30"/>
    <x v="0"/>
    <x v="789"/>
    <x v="331"/>
    <x v="8"/>
    <x v="0"/>
    <n v="907"/>
    <x v="7"/>
  </r>
  <r>
    <n v="1912"/>
    <s v="Alvin Manalang"/>
    <x v="0"/>
    <s v="Male"/>
    <n v="26"/>
    <x v="3"/>
    <x v="691"/>
    <x v="2"/>
    <x v="2"/>
    <x v="1"/>
    <n v="1927"/>
    <x v="2"/>
  </r>
  <r>
    <n v="1913"/>
    <s v="Eva Salazar"/>
    <x v="5"/>
    <s v="Female"/>
    <n v="32"/>
    <x v="0"/>
    <x v="790"/>
    <x v="332"/>
    <x v="1"/>
    <x v="0"/>
    <n v="1355"/>
    <x v="4"/>
  </r>
  <r>
    <n v="1914"/>
    <s v="Patricio Pascual Aguilar"/>
    <x v="1"/>
    <s v="Male"/>
    <n v="46"/>
    <x v="2"/>
    <x v="791"/>
    <x v="2"/>
    <x v="2"/>
    <x v="1"/>
    <n v="245"/>
    <x v="1"/>
  </r>
  <r>
    <n v="1915"/>
    <s v="Rica Castro"/>
    <x v="5"/>
    <s v="Female"/>
    <n v="34"/>
    <x v="0"/>
    <x v="792"/>
    <x v="2"/>
    <x v="2"/>
    <x v="1"/>
    <n v="1085"/>
    <x v="7"/>
  </r>
  <r>
    <n v="1916"/>
    <s v="Violeta Go Santiago"/>
    <x v="1"/>
    <s v="Female"/>
    <n v="41"/>
    <x v="2"/>
    <x v="793"/>
    <x v="2"/>
    <x v="2"/>
    <x v="1"/>
    <n v="1427"/>
    <x v="4"/>
  </r>
  <r>
    <n v="1917"/>
    <s v="Nathan Torres Ocampo"/>
    <x v="1"/>
    <s v="Male"/>
    <n v="50"/>
    <x v="1"/>
    <x v="445"/>
    <x v="333"/>
    <x v="4"/>
    <x v="0"/>
    <n v="907"/>
    <x v="7"/>
  </r>
  <r>
    <n v="1918"/>
    <s v="Rowena Hilario"/>
    <x v="5"/>
    <s v="Female"/>
    <n v="50"/>
    <x v="1"/>
    <x v="734"/>
    <x v="2"/>
    <x v="2"/>
    <x v="1"/>
    <n v="1121"/>
    <x v="4"/>
  </r>
  <r>
    <n v="1919"/>
    <s v="Gregorio Cruz"/>
    <x v="5"/>
    <s v="Male"/>
    <n v="51"/>
    <x v="1"/>
    <x v="794"/>
    <x v="2"/>
    <x v="2"/>
    <x v="1"/>
    <n v="1963"/>
    <x v="2"/>
  </r>
  <r>
    <n v="1920"/>
    <s v="Florinda Flores Manalo"/>
    <x v="1"/>
    <s v="Female"/>
    <n v="46"/>
    <x v="2"/>
    <x v="795"/>
    <x v="334"/>
    <x v="8"/>
    <x v="0"/>
    <n v="135"/>
    <x v="1"/>
  </r>
  <r>
    <n v="1921"/>
    <s v="Riley Zulueta"/>
    <x v="5"/>
    <s v="Other"/>
    <n v="55"/>
    <x v="1"/>
    <x v="553"/>
    <x v="2"/>
    <x v="2"/>
    <x v="1"/>
    <n v="2221"/>
    <x v="6"/>
  </r>
  <r>
    <n v="1922"/>
    <s v="Luisa Bautista Mendoza"/>
    <x v="5"/>
    <s v="Other"/>
    <n v="27"/>
    <x v="3"/>
    <x v="796"/>
    <x v="2"/>
    <x v="2"/>
    <x v="1"/>
    <n v="1507"/>
    <x v="0"/>
  </r>
  <r>
    <n v="1923"/>
    <s v="Miguel Reyes Dela Cruz"/>
    <x v="5"/>
    <s v="Other"/>
    <n v="36"/>
    <x v="0"/>
    <x v="797"/>
    <x v="2"/>
    <x v="2"/>
    <x v="1"/>
    <n v="1572"/>
    <x v="0"/>
  </r>
  <r>
    <n v="1924"/>
    <s v="Nicanor Fernandez"/>
    <x v="3"/>
    <s v="Male"/>
    <n v="33"/>
    <x v="0"/>
    <x v="798"/>
    <x v="2"/>
    <x v="2"/>
    <x v="1"/>
    <n v="321"/>
    <x v="1"/>
  </r>
  <r>
    <n v="1925"/>
    <s v="Cristina Castro Dalisay"/>
    <x v="2"/>
    <s v="Female"/>
    <n v="31"/>
    <x v="0"/>
    <x v="33"/>
    <x v="2"/>
    <x v="2"/>
    <x v="1"/>
    <n v="2926"/>
    <x v="8"/>
  </r>
  <r>
    <n v="1926"/>
    <s v="Rodel Navarro Soriano"/>
    <x v="0"/>
    <s v="Other"/>
    <n v="46"/>
    <x v="2"/>
    <x v="799"/>
    <x v="335"/>
    <x v="0"/>
    <x v="0"/>
    <n v="527"/>
    <x v="5"/>
  </r>
  <r>
    <n v="1927"/>
    <s v="Celine Corpuz"/>
    <x v="1"/>
    <s v="Female"/>
    <n v="35"/>
    <x v="0"/>
    <x v="800"/>
    <x v="2"/>
    <x v="2"/>
    <x v="1"/>
    <n v="2836"/>
    <x v="3"/>
  </r>
  <r>
    <n v="1928"/>
    <s v="Isabel Lopez"/>
    <x v="1"/>
    <s v="Other"/>
    <n v="47"/>
    <x v="2"/>
    <x v="801"/>
    <x v="2"/>
    <x v="2"/>
    <x v="1"/>
    <n v="1871"/>
    <x v="2"/>
  </r>
  <r>
    <n v="1929"/>
    <s v="Arnel Figueroa"/>
    <x v="2"/>
    <s v="Other"/>
    <n v="57"/>
    <x v="1"/>
    <x v="802"/>
    <x v="336"/>
    <x v="8"/>
    <x v="0"/>
    <n v="478"/>
    <x v="5"/>
  </r>
  <r>
    <n v="1930"/>
    <s v="Hope Diaz Enriquez"/>
    <x v="5"/>
    <s v="Female"/>
    <n v="32"/>
    <x v="0"/>
    <x v="666"/>
    <x v="2"/>
    <x v="2"/>
    <x v="1"/>
    <n v="504"/>
    <x v="5"/>
  </r>
  <r>
    <n v="1931"/>
    <s v="Antonio Santos Bagtas"/>
    <x v="1"/>
    <s v="Other"/>
    <n v="49"/>
    <x v="2"/>
    <x v="803"/>
    <x v="2"/>
    <x v="2"/>
    <x v="1"/>
    <n v="1540"/>
    <x v="0"/>
  </r>
  <r>
    <n v="1932"/>
    <s v="Rodel Ang Torres"/>
    <x v="1"/>
    <s v="Male"/>
    <n v="28"/>
    <x v="3"/>
    <x v="804"/>
    <x v="337"/>
    <x v="1"/>
    <x v="0"/>
    <n v="967"/>
    <x v="7"/>
  </r>
  <r>
    <n v="1933"/>
    <s v="Cherry San Pedro"/>
    <x v="4"/>
    <s v="Female"/>
    <n v="34"/>
    <x v="0"/>
    <x v="805"/>
    <x v="338"/>
    <x v="5"/>
    <x v="0"/>
    <n v="396"/>
    <x v="5"/>
  </r>
  <r>
    <n v="1934"/>
    <s v="Yvonne Bayani"/>
    <x v="1"/>
    <s v="Female"/>
    <n v="23"/>
    <x v="3"/>
    <x v="806"/>
    <x v="2"/>
    <x v="2"/>
    <x v="1"/>
    <n v="973"/>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5"/>
    <x v="8"/>
  </r>
  <r>
    <n v="1941"/>
    <s v="Severino Go Panganiban"/>
    <x v="3"/>
    <s v="Male"/>
    <n v="30"/>
    <x v="0"/>
    <x v="812"/>
    <x v="2"/>
    <x v="2"/>
    <x v="1"/>
    <n v="842"/>
    <x v="7"/>
  </r>
  <r>
    <n v="1942"/>
    <s v="Jaime Santiago Santos"/>
    <x v="4"/>
    <s v="Male"/>
    <n v="51"/>
    <x v="1"/>
    <x v="813"/>
    <x v="170"/>
    <x v="0"/>
    <x v="0"/>
    <n v="2012"/>
    <x v="2"/>
  </r>
  <r>
    <n v="1943"/>
    <s v="Manuel Bayani"/>
    <x v="0"/>
    <s v="Other"/>
    <n v="46"/>
    <x v="2"/>
    <x v="372"/>
    <x v="2"/>
    <x v="2"/>
    <x v="1"/>
    <n v="1578"/>
    <x v="0"/>
  </r>
  <r>
    <n v="1944"/>
    <s v="Juan Diaz"/>
    <x v="1"/>
    <s v="Other"/>
    <n v="28"/>
    <x v="3"/>
    <x v="814"/>
    <x v="2"/>
    <x v="2"/>
    <x v="1"/>
    <n v="1530"/>
    <x v="0"/>
  </r>
  <r>
    <n v="1945"/>
    <s v="Ronaldo Rivera Jimenez"/>
    <x v="3"/>
    <s v="Other"/>
    <n v="43"/>
    <x v="2"/>
    <x v="815"/>
    <x v="2"/>
    <x v="2"/>
    <x v="1"/>
    <n v="1019"/>
    <x v="7"/>
  </r>
  <r>
    <n v="1946"/>
    <s v="Sam Jimenez"/>
    <x v="3"/>
    <s v="Other"/>
    <n v="36"/>
    <x v="0"/>
    <x v="77"/>
    <x v="344"/>
    <x v="8"/>
    <x v="0"/>
    <n v="830"/>
    <x v="7"/>
  </r>
  <r>
    <n v="1947"/>
    <s v="Feliciano Garcia Reyes"/>
    <x v="1"/>
    <s v="Male"/>
    <n v="30"/>
    <x v="0"/>
    <x v="816"/>
    <x v="345"/>
    <x v="5"/>
    <x v="0"/>
    <n v="1274"/>
    <x v="4"/>
  </r>
  <r>
    <n v="1948"/>
    <s v="Casey Delmendo"/>
    <x v="5"/>
    <s v="Other"/>
    <n v="46"/>
    <x v="2"/>
    <x v="817"/>
    <x v="2"/>
    <x v="2"/>
    <x v="1"/>
    <n v="214"/>
    <x v="1"/>
  </r>
  <r>
    <n v="1949"/>
    <s v="Kath Fajardo"/>
    <x v="2"/>
    <s v="Female"/>
    <n v="48"/>
    <x v="2"/>
    <x v="818"/>
    <x v="2"/>
    <x v="2"/>
    <x v="1"/>
    <n v="2071"/>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3"/>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6"/>
    <x v="4"/>
  </r>
  <r>
    <n v="1957"/>
    <s v="Oliver Panganiban"/>
    <x v="5"/>
    <s v="Male"/>
    <n v="41"/>
    <x v="2"/>
    <x v="824"/>
    <x v="2"/>
    <x v="2"/>
    <x v="1"/>
    <n v="2125"/>
    <x v="2"/>
  </r>
  <r>
    <n v="1958"/>
    <s v="Maria Obispo"/>
    <x v="3"/>
    <s v="Other"/>
    <n v="27"/>
    <x v="3"/>
    <x v="685"/>
    <x v="2"/>
    <x v="2"/>
    <x v="1"/>
    <n v="3094"/>
    <x v="8"/>
  </r>
  <r>
    <n v="1959"/>
    <s v="Teresita Chan Ignacio"/>
    <x v="3"/>
    <s v="Female"/>
    <n v="28"/>
    <x v="3"/>
    <x v="825"/>
    <x v="50"/>
    <x v="1"/>
    <x v="0"/>
    <n v="806"/>
    <x v="7"/>
  </r>
  <r>
    <n v="1960"/>
    <s v="Elmer Cruz"/>
    <x v="0"/>
    <s v="Male"/>
    <n v="21"/>
    <x v="3"/>
    <x v="826"/>
    <x v="2"/>
    <x v="2"/>
    <x v="1"/>
    <n v="493"/>
    <x v="5"/>
  </r>
  <r>
    <n v="1961"/>
    <s v="Cristina Garcia Viray"/>
    <x v="2"/>
    <s v="Other"/>
    <n v="41"/>
    <x v="2"/>
    <x v="827"/>
    <x v="2"/>
    <x v="2"/>
    <x v="1"/>
    <n v="330"/>
    <x v="1"/>
  </r>
  <r>
    <n v="1962"/>
    <s v="Taylor Castro Dela Torre"/>
    <x v="4"/>
    <s v="Other"/>
    <n v="51"/>
    <x v="1"/>
    <x v="828"/>
    <x v="2"/>
    <x v="2"/>
    <x v="1"/>
    <n v="410"/>
    <x v="5"/>
  </r>
  <r>
    <n v="1963"/>
    <s v="Manuel Figueroa"/>
    <x v="5"/>
    <s v="Other"/>
    <n v="57"/>
    <x v="1"/>
    <x v="829"/>
    <x v="351"/>
    <x v="4"/>
    <x v="0"/>
    <n v="599"/>
    <x v="5"/>
  </r>
  <r>
    <n v="1964"/>
    <s v="Oscar Lopez Sy"/>
    <x v="3"/>
    <s v="Male"/>
    <n v="49"/>
    <x v="2"/>
    <x v="830"/>
    <x v="2"/>
    <x v="2"/>
    <x v="1"/>
    <n v="2633"/>
    <x v="3"/>
  </r>
  <r>
    <n v="1965"/>
    <s v="Ramon Aguilar"/>
    <x v="5"/>
    <s v="Male"/>
    <n v="26"/>
    <x v="3"/>
    <x v="831"/>
    <x v="2"/>
    <x v="2"/>
    <x v="1"/>
    <n v="2674"/>
    <x v="3"/>
  </r>
  <r>
    <n v="1966"/>
    <s v="Eddie Ramos Enriquez"/>
    <x v="4"/>
    <s v="Male"/>
    <n v="38"/>
    <x v="0"/>
    <x v="832"/>
    <x v="2"/>
    <x v="2"/>
    <x v="1"/>
    <n v="2204"/>
    <x v="6"/>
  </r>
  <r>
    <n v="1967"/>
    <s v="Francis Tan"/>
    <x v="3"/>
    <s v="Male"/>
    <n v="52"/>
    <x v="1"/>
    <x v="833"/>
    <x v="2"/>
    <x v="2"/>
    <x v="1"/>
    <n v="2736"/>
    <x v="3"/>
  </r>
  <r>
    <n v="1968"/>
    <s v="Leonard Corpuz"/>
    <x v="5"/>
    <s v="Male"/>
    <n v="42"/>
    <x v="2"/>
    <x v="834"/>
    <x v="2"/>
    <x v="2"/>
    <x v="1"/>
    <n v="1562"/>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902"/>
    <x v="7"/>
  </r>
  <r>
    <n v="1973"/>
    <s v="Erlinda Del Rosario"/>
    <x v="4"/>
    <s v="Female"/>
    <n v="50"/>
    <x v="1"/>
    <x v="764"/>
    <x v="2"/>
    <x v="2"/>
    <x v="1"/>
    <n v="2503"/>
    <x v="6"/>
  </r>
  <r>
    <n v="1974"/>
    <s v="Morgan Ang"/>
    <x v="2"/>
    <s v="Other"/>
    <n v="41"/>
    <x v="2"/>
    <x v="804"/>
    <x v="2"/>
    <x v="2"/>
    <x v="1"/>
    <n v="1841"/>
    <x v="2"/>
  </r>
  <r>
    <n v="1975"/>
    <s v="Francis Domingo"/>
    <x v="5"/>
    <s v="Male"/>
    <n v="34"/>
    <x v="0"/>
    <x v="296"/>
    <x v="354"/>
    <x v="0"/>
    <x v="0"/>
    <n v="475"/>
    <x v="5"/>
  </r>
  <r>
    <n v="1976"/>
    <s v="Jose Viray"/>
    <x v="1"/>
    <s v="Other"/>
    <n v="35"/>
    <x v="0"/>
    <x v="837"/>
    <x v="2"/>
    <x v="2"/>
    <x v="1"/>
    <n v="238"/>
    <x v="1"/>
  </r>
  <r>
    <n v="1977"/>
    <s v="Danilo Estrada"/>
    <x v="4"/>
    <s v="Other"/>
    <n v="31"/>
    <x v="0"/>
    <x v="838"/>
    <x v="2"/>
    <x v="2"/>
    <x v="1"/>
    <n v="3018"/>
    <x v="8"/>
  </r>
  <r>
    <n v="1978"/>
    <s v="Carlos Co"/>
    <x v="3"/>
    <s v="Other"/>
    <n v="46"/>
    <x v="2"/>
    <x v="813"/>
    <x v="2"/>
    <x v="2"/>
    <x v="1"/>
    <n v="2812"/>
    <x v="3"/>
  </r>
  <r>
    <n v="1979"/>
    <s v="Manuel Roque"/>
    <x v="1"/>
    <s v="Other"/>
    <n v="46"/>
    <x v="2"/>
    <x v="583"/>
    <x v="355"/>
    <x v="4"/>
    <x v="0"/>
    <n v="311"/>
    <x v="1"/>
  </r>
  <r>
    <n v="1980"/>
    <s v="Lorenzo Rivera"/>
    <x v="0"/>
    <s v="Male"/>
    <n v="51"/>
    <x v="1"/>
    <x v="81"/>
    <x v="2"/>
    <x v="2"/>
    <x v="1"/>
    <n v="1914"/>
    <x v="2"/>
  </r>
  <r>
    <n v="1981"/>
    <s v="Samuel Figueroa"/>
    <x v="1"/>
    <s v="Male"/>
    <n v="44"/>
    <x v="2"/>
    <x v="839"/>
    <x v="356"/>
    <x v="6"/>
    <x v="0"/>
    <n v="241"/>
    <x v="1"/>
  </r>
  <r>
    <n v="1982"/>
    <s v="Annaliza Cueto"/>
    <x v="3"/>
    <s v="Female"/>
    <n v="51"/>
    <x v="1"/>
    <x v="840"/>
    <x v="2"/>
    <x v="2"/>
    <x v="1"/>
    <n v="2371"/>
    <x v="6"/>
  </r>
  <r>
    <n v="1983"/>
    <s v="Manuel Gonzales Hernandez"/>
    <x v="0"/>
    <s v="Other"/>
    <n v="46"/>
    <x v="2"/>
    <x v="0"/>
    <x v="357"/>
    <x v="6"/>
    <x v="0"/>
    <n v="583"/>
    <x v="5"/>
  </r>
  <r>
    <n v="1984"/>
    <s v="Leonard Ang"/>
    <x v="5"/>
    <s v="Male"/>
    <n v="26"/>
    <x v="3"/>
    <x v="841"/>
    <x v="2"/>
    <x v="2"/>
    <x v="1"/>
    <n v="1207"/>
    <x v="4"/>
  </r>
  <r>
    <n v="1985"/>
    <s v="Celine Hernandez"/>
    <x v="4"/>
    <s v="Female"/>
    <n v="65"/>
    <x v="4"/>
    <x v="842"/>
    <x v="358"/>
    <x v="7"/>
    <x v="0"/>
    <n v="2177"/>
    <x v="2"/>
  </r>
  <r>
    <n v="1986"/>
    <s v="Faith Navarro Macapagal"/>
    <x v="2"/>
    <s v="Female"/>
    <n v="51"/>
    <x v="1"/>
    <x v="423"/>
    <x v="2"/>
    <x v="2"/>
    <x v="1"/>
    <n v="466"/>
    <x v="5"/>
  </r>
  <r>
    <n v="1987"/>
    <s v="Sam Ang Tolentino"/>
    <x v="1"/>
    <s v="Other"/>
    <n v="55"/>
    <x v="1"/>
    <x v="342"/>
    <x v="2"/>
    <x v="2"/>
    <x v="1"/>
    <n v="2349"/>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7"/>
    <x v="0"/>
  </r>
  <r>
    <n v="1991"/>
    <s v="Estrella Ramos Delos Reyes"/>
    <x v="5"/>
    <s v="Female"/>
    <n v="23"/>
    <x v="3"/>
    <x v="846"/>
    <x v="2"/>
    <x v="2"/>
    <x v="1"/>
    <n v="979"/>
    <x v="7"/>
  </r>
  <r>
    <n v="1992"/>
    <s v="Pilar Santiago"/>
    <x v="0"/>
    <s v="Other"/>
    <n v="54"/>
    <x v="1"/>
    <x v="847"/>
    <x v="2"/>
    <x v="2"/>
    <x v="1"/>
    <n v="1664"/>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40"/>
    <x v="0"/>
  </r>
  <r>
    <n v="1998"/>
    <s v="Morgan Soriano Soriano"/>
    <x v="4"/>
    <s v="Other"/>
    <n v="45"/>
    <x v="2"/>
    <x v="853"/>
    <x v="2"/>
    <x v="2"/>
    <x v="1"/>
    <n v="2676"/>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7"/>
    <x v="6"/>
  </r>
  <r>
    <n v="2003"/>
    <s v="Danilo Navarro Yap"/>
    <x v="3"/>
    <s v="Male"/>
    <n v="35"/>
    <x v="0"/>
    <x v="856"/>
    <x v="2"/>
    <x v="2"/>
    <x v="1"/>
    <n v="1856"/>
    <x v="2"/>
  </r>
  <r>
    <n v="2004"/>
    <s v="Gregorio Pascual Macapagal"/>
    <x v="2"/>
    <s v="Male"/>
    <n v="25"/>
    <x v="3"/>
    <x v="857"/>
    <x v="2"/>
    <x v="2"/>
    <x v="1"/>
    <n v="2123"/>
    <x v="2"/>
  </r>
  <r>
    <n v="2005"/>
    <s v="Crisanto Torres Umali"/>
    <x v="0"/>
    <s v="Male"/>
    <n v="21"/>
    <x v="3"/>
    <x v="858"/>
    <x v="2"/>
    <x v="2"/>
    <x v="1"/>
    <n v="1370"/>
    <x v="4"/>
  </r>
  <r>
    <n v="2006"/>
    <s v="Harold Uy"/>
    <x v="4"/>
    <s v="Male"/>
    <n v="21"/>
    <x v="3"/>
    <x v="859"/>
    <x v="2"/>
    <x v="2"/>
    <x v="1"/>
    <n v="1366"/>
    <x v="4"/>
  </r>
  <r>
    <n v="2007"/>
    <s v="Cristina Natividad"/>
    <x v="5"/>
    <s v="Other"/>
    <n v="54"/>
    <x v="1"/>
    <x v="574"/>
    <x v="2"/>
    <x v="2"/>
    <x v="1"/>
    <n v="305"/>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80"/>
    <x v="2"/>
  </r>
  <r>
    <n v="2014"/>
    <s v="Herminia Sy Ramirez"/>
    <x v="0"/>
    <s v="Female"/>
    <n v="49"/>
    <x v="2"/>
    <x v="865"/>
    <x v="2"/>
    <x v="2"/>
    <x v="1"/>
    <n v="418"/>
    <x v="5"/>
  </r>
  <r>
    <n v="2015"/>
    <s v="Ana Cruz Del Rosario"/>
    <x v="1"/>
    <s v="Other"/>
    <n v="33"/>
    <x v="0"/>
    <x v="866"/>
    <x v="367"/>
    <x v="0"/>
    <x v="0"/>
    <n v="254"/>
    <x v="1"/>
  </r>
  <r>
    <n v="2016"/>
    <s v="Annaliza Ang Camacho"/>
    <x v="1"/>
    <s v="Female"/>
    <n v="51"/>
    <x v="1"/>
    <x v="867"/>
    <x v="2"/>
    <x v="2"/>
    <x v="1"/>
    <n v="382"/>
    <x v="5"/>
  </r>
  <r>
    <n v="2017"/>
    <s v="Arnel Mendoza Flores"/>
    <x v="2"/>
    <s v="Other"/>
    <n v="41"/>
    <x v="2"/>
    <x v="868"/>
    <x v="2"/>
    <x v="2"/>
    <x v="1"/>
    <n v="1469"/>
    <x v="0"/>
  </r>
  <r>
    <n v="2018"/>
    <s v="Aileen Perez"/>
    <x v="2"/>
    <s v="Female"/>
    <n v="60"/>
    <x v="4"/>
    <x v="869"/>
    <x v="368"/>
    <x v="7"/>
    <x v="0"/>
    <n v="790"/>
    <x v="7"/>
  </r>
  <r>
    <n v="2019"/>
    <s v="Teresita Gonzales Trinidad"/>
    <x v="4"/>
    <s v="Female"/>
    <n v="52"/>
    <x v="1"/>
    <x v="842"/>
    <x v="2"/>
    <x v="2"/>
    <x v="1"/>
    <n v="2768"/>
    <x v="3"/>
  </r>
  <r>
    <n v="2020"/>
    <s v="Elena Lazo"/>
    <x v="4"/>
    <s v="Other"/>
    <n v="37"/>
    <x v="0"/>
    <x v="870"/>
    <x v="326"/>
    <x v="6"/>
    <x v="0"/>
    <n v="195"/>
    <x v="1"/>
  </r>
  <r>
    <n v="2021"/>
    <s v="Lourdes Valencia"/>
    <x v="1"/>
    <s v="Other"/>
    <n v="32"/>
    <x v="0"/>
    <x v="871"/>
    <x v="2"/>
    <x v="2"/>
    <x v="1"/>
    <n v="2334"/>
    <x v="6"/>
  </r>
  <r>
    <n v="2022"/>
    <s v="Erlinda Castro Estrada"/>
    <x v="1"/>
    <s v="Female"/>
    <n v="23"/>
    <x v="3"/>
    <x v="872"/>
    <x v="2"/>
    <x v="2"/>
    <x v="1"/>
    <n v="1985"/>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31"/>
    <x v="2"/>
  </r>
  <r>
    <n v="2028"/>
    <s v="Miguel Diaz"/>
    <x v="1"/>
    <s v="Other"/>
    <n v="28"/>
    <x v="3"/>
    <x v="511"/>
    <x v="2"/>
    <x v="2"/>
    <x v="1"/>
    <n v="2938"/>
    <x v="8"/>
  </r>
  <r>
    <n v="2029"/>
    <s v="Maribel Fajardo"/>
    <x v="3"/>
    <s v="Female"/>
    <n v="55"/>
    <x v="1"/>
    <x v="877"/>
    <x v="373"/>
    <x v="6"/>
    <x v="0"/>
    <n v="461"/>
    <x v="5"/>
  </r>
  <r>
    <n v="2030"/>
    <s v="Sue Manalang"/>
    <x v="1"/>
    <s v="Female"/>
    <n v="56"/>
    <x v="1"/>
    <x v="878"/>
    <x v="2"/>
    <x v="2"/>
    <x v="1"/>
    <n v="2072"/>
    <x v="2"/>
  </r>
  <r>
    <n v="2031"/>
    <s v="Teresa Bagtas"/>
    <x v="4"/>
    <s v="Other"/>
    <n v="48"/>
    <x v="2"/>
    <x v="879"/>
    <x v="2"/>
    <x v="2"/>
    <x v="1"/>
    <n v="2829"/>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4"/>
    <x v="6"/>
  </r>
  <r>
    <n v="2035"/>
    <s v="Rosalinda Fernandez Chua"/>
    <x v="4"/>
    <s v="Female"/>
    <n v="38"/>
    <x v="0"/>
    <x v="882"/>
    <x v="376"/>
    <x v="0"/>
    <x v="0"/>
    <n v="319"/>
    <x v="1"/>
  </r>
  <r>
    <n v="2036"/>
    <s v="Isabel Bayani"/>
    <x v="3"/>
    <s v="Female"/>
    <n v="29"/>
    <x v="3"/>
    <x v="883"/>
    <x v="2"/>
    <x v="2"/>
    <x v="1"/>
    <n v="1999"/>
    <x v="2"/>
  </r>
  <r>
    <n v="2037"/>
    <s v="Patricia Domingo Dalisay"/>
    <x v="3"/>
    <s v="Female"/>
    <n v="28"/>
    <x v="3"/>
    <x v="884"/>
    <x v="2"/>
    <x v="2"/>
    <x v="1"/>
    <n v="3101"/>
    <x v="8"/>
  </r>
  <r>
    <n v="2038"/>
    <s v="Jose Aguilar Crisostomo"/>
    <x v="5"/>
    <s v="Male"/>
    <n v="39"/>
    <x v="0"/>
    <x v="885"/>
    <x v="2"/>
    <x v="2"/>
    <x v="1"/>
    <n v="1777"/>
    <x v="0"/>
  </r>
  <r>
    <n v="2039"/>
    <s v="Lourdes Lopez"/>
    <x v="1"/>
    <s v="Other"/>
    <n v="55"/>
    <x v="1"/>
    <x v="886"/>
    <x v="2"/>
    <x v="2"/>
    <x v="1"/>
    <n v="414"/>
    <x v="5"/>
  </r>
  <r>
    <n v="2040"/>
    <s v="Rowena Santiago"/>
    <x v="5"/>
    <s v="Other"/>
    <n v="37"/>
    <x v="0"/>
    <x v="887"/>
    <x v="2"/>
    <x v="2"/>
    <x v="1"/>
    <n v="541"/>
    <x v="5"/>
  </r>
  <r>
    <n v="2041"/>
    <s v="Tina Sy Domingo"/>
    <x v="1"/>
    <s v="Female"/>
    <n v="58"/>
    <x v="1"/>
    <x v="888"/>
    <x v="2"/>
    <x v="2"/>
    <x v="1"/>
    <n v="527"/>
    <x v="5"/>
  </r>
  <r>
    <n v="2042"/>
    <s v="Jose Gonzales Diaz"/>
    <x v="4"/>
    <s v="Other"/>
    <n v="26"/>
    <x v="3"/>
    <x v="889"/>
    <x v="377"/>
    <x v="4"/>
    <x v="0"/>
    <n v="279"/>
    <x v="1"/>
  </r>
  <r>
    <n v="2043"/>
    <s v="Leonora Sy Aquino"/>
    <x v="5"/>
    <s v="Female"/>
    <n v="31"/>
    <x v="0"/>
    <x v="890"/>
    <x v="2"/>
    <x v="2"/>
    <x v="1"/>
    <n v="2379"/>
    <x v="6"/>
  </r>
  <r>
    <n v="2044"/>
    <s v="Avery Dela Torre"/>
    <x v="4"/>
    <s v="Other"/>
    <n v="46"/>
    <x v="2"/>
    <x v="891"/>
    <x v="2"/>
    <x v="2"/>
    <x v="1"/>
    <n v="2696"/>
    <x v="3"/>
  </r>
  <r>
    <n v="2045"/>
    <s v="Elena Garcia Flores"/>
    <x v="1"/>
    <s v="Female"/>
    <n v="45"/>
    <x v="2"/>
    <x v="892"/>
    <x v="378"/>
    <x v="1"/>
    <x v="0"/>
    <n v="145"/>
    <x v="1"/>
  </r>
  <r>
    <n v="2046"/>
    <s v="Taylor Guerrero"/>
    <x v="4"/>
    <s v="Other"/>
    <n v="21"/>
    <x v="3"/>
    <x v="290"/>
    <x v="2"/>
    <x v="2"/>
    <x v="1"/>
    <n v="3068"/>
    <x v="8"/>
  </r>
  <r>
    <n v="2047"/>
    <s v="Maricel Manalo"/>
    <x v="4"/>
    <s v="Other"/>
    <n v="33"/>
    <x v="0"/>
    <x v="893"/>
    <x v="2"/>
    <x v="2"/>
    <x v="1"/>
    <n v="2536"/>
    <x v="6"/>
  </r>
  <r>
    <n v="2048"/>
    <s v="Ulysses Reyes Valencia"/>
    <x v="4"/>
    <s v="Male"/>
    <n v="36"/>
    <x v="0"/>
    <x v="894"/>
    <x v="2"/>
    <x v="2"/>
    <x v="1"/>
    <n v="2878"/>
    <x v="3"/>
  </r>
  <r>
    <n v="2049"/>
    <s v="Yvonne Ramirez Mercado"/>
    <x v="2"/>
    <s v="Female"/>
    <n v="39"/>
    <x v="0"/>
    <x v="76"/>
    <x v="2"/>
    <x v="2"/>
    <x v="1"/>
    <n v="2686"/>
    <x v="3"/>
  </r>
  <r>
    <n v="2050"/>
    <s v="Nicanor Torres Guevarra"/>
    <x v="1"/>
    <s v="Male"/>
    <n v="30"/>
    <x v="0"/>
    <x v="895"/>
    <x v="2"/>
    <x v="2"/>
    <x v="1"/>
    <n v="1659"/>
    <x v="0"/>
  </r>
  <r>
    <n v="2051"/>
    <s v="Carlos Diaz Crisostomo"/>
    <x v="0"/>
    <s v="Other"/>
    <n v="35"/>
    <x v="0"/>
    <x v="896"/>
    <x v="2"/>
    <x v="2"/>
    <x v="1"/>
    <n v="2690"/>
    <x v="3"/>
  </r>
  <r>
    <n v="2052"/>
    <s v="Jose Gonzales Estrada"/>
    <x v="1"/>
    <s v="Other"/>
    <n v="26"/>
    <x v="3"/>
    <x v="609"/>
    <x v="2"/>
    <x v="2"/>
    <x v="1"/>
    <n v="2929"/>
    <x v="8"/>
  </r>
  <r>
    <n v="2053"/>
    <s v="Lilia Ang Lopez"/>
    <x v="5"/>
    <s v="Female"/>
    <n v="40"/>
    <x v="2"/>
    <x v="736"/>
    <x v="2"/>
    <x v="2"/>
    <x v="1"/>
    <n v="547"/>
    <x v="5"/>
  </r>
  <r>
    <n v="2054"/>
    <s v="Cameron Fernandez Corpuz"/>
    <x v="5"/>
    <s v="Other"/>
    <n v="25"/>
    <x v="3"/>
    <x v="897"/>
    <x v="2"/>
    <x v="2"/>
    <x v="1"/>
    <n v="3098"/>
    <x v="8"/>
  </r>
  <r>
    <n v="2055"/>
    <s v="Fernando Ramos Mercado"/>
    <x v="4"/>
    <s v="Other"/>
    <n v="51"/>
    <x v="1"/>
    <x v="266"/>
    <x v="379"/>
    <x v="5"/>
    <x v="0"/>
    <n v="1840"/>
    <x v="2"/>
  </r>
  <r>
    <n v="2056"/>
    <s v="Paolo Quiambao"/>
    <x v="1"/>
    <s v="Male"/>
    <n v="41"/>
    <x v="2"/>
    <x v="898"/>
    <x v="2"/>
    <x v="2"/>
    <x v="1"/>
    <n v="1082"/>
    <x v="7"/>
  </r>
  <r>
    <n v="2057"/>
    <s v="Isabel Ramirez Fajardo"/>
    <x v="4"/>
    <s v="Other"/>
    <n v="36"/>
    <x v="0"/>
    <x v="580"/>
    <x v="2"/>
    <x v="2"/>
    <x v="1"/>
    <n v="1537"/>
    <x v="0"/>
  </r>
  <r>
    <n v="2058"/>
    <s v="Nicanor Santiago Jimenez"/>
    <x v="4"/>
    <s v="Male"/>
    <n v="47"/>
    <x v="2"/>
    <x v="899"/>
    <x v="2"/>
    <x v="2"/>
    <x v="1"/>
    <n v="948"/>
    <x v="7"/>
  </r>
  <r>
    <n v="2059"/>
    <s v="Avery Vega Gonzales"/>
    <x v="1"/>
    <s v="Other"/>
    <n v="22"/>
    <x v="3"/>
    <x v="900"/>
    <x v="2"/>
    <x v="2"/>
    <x v="1"/>
    <n v="1622"/>
    <x v="0"/>
  </r>
  <r>
    <n v="2060"/>
    <s v="Rowena Ramirez Camacho"/>
    <x v="4"/>
    <s v="Other"/>
    <n v="29"/>
    <x v="3"/>
    <x v="901"/>
    <x v="2"/>
    <x v="2"/>
    <x v="1"/>
    <n v="1899"/>
    <x v="2"/>
  </r>
  <r>
    <n v="2061"/>
    <s v="Aileen Mendoza Ignacio"/>
    <x v="1"/>
    <s v="Female"/>
    <n v="30"/>
    <x v="0"/>
    <x v="902"/>
    <x v="2"/>
    <x v="2"/>
    <x v="1"/>
    <n v="1560"/>
    <x v="0"/>
  </r>
  <r>
    <n v="2062"/>
    <s v="Gloria Lim Reyes"/>
    <x v="5"/>
    <s v="Female"/>
    <n v="31"/>
    <x v="0"/>
    <x v="903"/>
    <x v="380"/>
    <x v="0"/>
    <x v="0"/>
    <n v="668"/>
    <x v="5"/>
  </r>
  <r>
    <n v="2063"/>
    <s v="Faith Diaz Tuazon"/>
    <x v="1"/>
    <s v="Female"/>
    <n v="29"/>
    <x v="3"/>
    <x v="904"/>
    <x v="2"/>
    <x v="2"/>
    <x v="1"/>
    <n v="946"/>
    <x v="7"/>
  </r>
  <r>
    <n v="2064"/>
    <s v="Antonio Quiambao"/>
    <x v="4"/>
    <s v="Male"/>
    <n v="21"/>
    <x v="3"/>
    <x v="905"/>
    <x v="381"/>
    <x v="4"/>
    <x v="0"/>
    <n v="212"/>
    <x v="1"/>
  </r>
  <r>
    <n v="2065"/>
    <s v="Eva Hilario"/>
    <x v="0"/>
    <s v="Female"/>
    <n v="48"/>
    <x v="2"/>
    <x v="906"/>
    <x v="2"/>
    <x v="2"/>
    <x v="1"/>
    <n v="322"/>
    <x v="1"/>
  </r>
  <r>
    <n v="2066"/>
    <s v="Feliciano Wong"/>
    <x v="4"/>
    <s v="Male"/>
    <n v="40"/>
    <x v="2"/>
    <x v="907"/>
    <x v="2"/>
    <x v="2"/>
    <x v="1"/>
    <n v="2175"/>
    <x v="2"/>
  </r>
  <r>
    <n v="2067"/>
    <s v="Riley Ocampo Tan"/>
    <x v="0"/>
    <s v="Other"/>
    <n v="29"/>
    <x v="3"/>
    <x v="17"/>
    <x v="2"/>
    <x v="2"/>
    <x v="1"/>
    <n v="2239"/>
    <x v="6"/>
  </r>
  <r>
    <n v="2068"/>
    <s v="Leonard Santiago Pascual"/>
    <x v="2"/>
    <s v="Male"/>
    <n v="41"/>
    <x v="2"/>
    <x v="908"/>
    <x v="2"/>
    <x v="2"/>
    <x v="1"/>
    <n v="433"/>
    <x v="5"/>
  </r>
  <r>
    <n v="2069"/>
    <s v="Diana Ocampo Aguilar"/>
    <x v="5"/>
    <s v="Female"/>
    <n v="27"/>
    <x v="3"/>
    <x v="786"/>
    <x v="382"/>
    <x v="0"/>
    <x v="0"/>
    <n v="1464"/>
    <x v="0"/>
  </r>
  <r>
    <n v="2070"/>
    <s v="Carmen Cruz Sy"/>
    <x v="1"/>
    <s v="Female"/>
    <n v="40"/>
    <x v="2"/>
    <x v="909"/>
    <x v="2"/>
    <x v="2"/>
    <x v="1"/>
    <n v="2338"/>
    <x v="6"/>
  </r>
  <r>
    <n v="2071"/>
    <s v="Efren Co"/>
    <x v="0"/>
    <s v="Other"/>
    <n v="23"/>
    <x v="3"/>
    <x v="910"/>
    <x v="383"/>
    <x v="0"/>
    <x v="0"/>
    <n v="1354"/>
    <x v="4"/>
  </r>
  <r>
    <n v="2072"/>
    <s v="Lourdes Mendoza Mangubat"/>
    <x v="0"/>
    <s v="Female"/>
    <n v="46"/>
    <x v="2"/>
    <x v="316"/>
    <x v="2"/>
    <x v="2"/>
    <x v="1"/>
    <n v="1649"/>
    <x v="0"/>
  </r>
  <r>
    <n v="2073"/>
    <s v="Elena Ong"/>
    <x v="0"/>
    <s v="Other"/>
    <n v="22"/>
    <x v="3"/>
    <x v="911"/>
    <x v="2"/>
    <x v="2"/>
    <x v="1"/>
    <n v="701"/>
    <x v="5"/>
  </r>
  <r>
    <n v="2074"/>
    <s v="Maricel Flores Miranda"/>
    <x v="1"/>
    <s v="Female"/>
    <n v="50"/>
    <x v="1"/>
    <x v="912"/>
    <x v="2"/>
    <x v="2"/>
    <x v="1"/>
    <n v="2784"/>
    <x v="3"/>
  </r>
  <r>
    <n v="2075"/>
    <s v="Bong Diaz Corpuz"/>
    <x v="2"/>
    <s v="Male"/>
    <n v="31"/>
    <x v="0"/>
    <x v="913"/>
    <x v="2"/>
    <x v="2"/>
    <x v="1"/>
    <n v="1052"/>
    <x v="7"/>
  </r>
  <r>
    <n v="2076"/>
    <s v="Bea Garcia"/>
    <x v="5"/>
    <s v="Female"/>
    <n v="39"/>
    <x v="0"/>
    <x v="914"/>
    <x v="2"/>
    <x v="2"/>
    <x v="1"/>
    <n v="1631"/>
    <x v="0"/>
  </r>
  <r>
    <n v="2077"/>
    <s v="Ernesto Lozano"/>
    <x v="5"/>
    <s v="Male"/>
    <n v="34"/>
    <x v="0"/>
    <x v="748"/>
    <x v="2"/>
    <x v="2"/>
    <x v="1"/>
    <n v="606"/>
    <x v="5"/>
  </r>
  <r>
    <n v="2078"/>
    <s v="Casey Navarro Zamora"/>
    <x v="0"/>
    <s v="Other"/>
    <n v="30"/>
    <x v="0"/>
    <x v="479"/>
    <x v="2"/>
    <x v="2"/>
    <x v="1"/>
    <n v="1839"/>
    <x v="2"/>
  </r>
  <r>
    <n v="2079"/>
    <s v="Mylene Go Dela Cruz"/>
    <x v="1"/>
    <s v="Female"/>
    <n v="25"/>
    <x v="3"/>
    <x v="464"/>
    <x v="2"/>
    <x v="2"/>
    <x v="1"/>
    <n v="1959"/>
    <x v="2"/>
  </r>
  <r>
    <n v="2080"/>
    <s v="Crisanto Castro"/>
    <x v="4"/>
    <s v="Male"/>
    <n v="37"/>
    <x v="0"/>
    <x v="915"/>
    <x v="2"/>
    <x v="2"/>
    <x v="1"/>
    <n v="1296"/>
    <x v="4"/>
  </r>
  <r>
    <n v="2081"/>
    <s v="Carlos Rivera"/>
    <x v="0"/>
    <s v="Male"/>
    <n v="32"/>
    <x v="0"/>
    <x v="916"/>
    <x v="2"/>
    <x v="3"/>
    <x v="1"/>
    <n v="123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212">
      <pivotArea type="all" dataOnly="0" outline="0" fieldPosition="0"/>
    </format>
    <format dxfId="211">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216">
      <pivotArea type="all" dataOnly="0" outline="0" fieldPosition="0"/>
    </format>
    <format dxfId="215">
      <pivotArea outline="0" collapsedLevelsAreSubtotals="1" fieldPosition="0"/>
    </format>
    <format dxfId="214">
      <pivotArea field="9" type="button" dataOnly="0" labelOnly="1" outline="0" axis="axisCol" fieldPosition="0"/>
    </format>
    <format dxfId="213">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222">
      <pivotArea type="all" dataOnly="0" outline="0" fieldPosition="0"/>
    </format>
    <format dxfId="221">
      <pivotArea outline="0" collapsedLevelsAreSubtotals="1" fieldPosition="0"/>
    </format>
    <format dxfId="220">
      <pivotArea dataOnly="0" labelOnly="1" outline="0" axis="axisValues" fieldPosition="0"/>
    </format>
    <format dxfId="219">
      <pivotArea dataOnly="0" labelOnly="1" outline="0" axis="axisValues" fieldPosition="0"/>
    </format>
    <format dxfId="218">
      <pivotArea outline="0" collapsedLevelsAreSubtotals="1" fieldPosition="0"/>
    </format>
    <format dxfId="2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223">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226">
      <pivotArea dataOnly="0" labelOnly="1" fieldPosition="0">
        <references count="1">
          <reference field="9" count="0"/>
        </references>
      </pivotArea>
    </format>
    <format dxfId="225">
      <pivotArea dataOnly="0" labelOnly="1" fieldPosition="0">
        <references count="1">
          <reference field="9" count="0"/>
        </references>
      </pivotArea>
    </format>
    <format dxfId="224">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235">
      <pivotArea type="origin" dataOnly="0" labelOnly="1" outline="0" fieldPosition="0"/>
    </format>
    <format dxfId="234">
      <pivotArea type="all" dataOnly="0" outline="0" fieldPosition="0"/>
    </format>
    <format dxfId="233">
      <pivotArea outline="0" collapsedLevelsAreSubtotals="1" fieldPosition="0"/>
    </format>
    <format dxfId="232">
      <pivotArea type="origin" dataOnly="0" labelOnly="1" outline="0" fieldPosition="0"/>
    </format>
    <format dxfId="231">
      <pivotArea field="9" type="button" dataOnly="0" labelOnly="1" outline="0" axis="axisCol" fieldPosition="0"/>
    </format>
    <format dxfId="230">
      <pivotArea field="5" type="button" dataOnly="0" labelOnly="1" outline="0" axis="axisRow" fieldPosition="0"/>
    </format>
    <format dxfId="229">
      <pivotArea dataOnly="0" labelOnly="1" fieldPosition="0">
        <references count="1">
          <reference field="5" count="0"/>
        </references>
      </pivotArea>
    </format>
    <format dxfId="228">
      <pivotArea dataOnly="0" labelOnly="1" grandRow="1" outline="0" fieldPosition="0"/>
    </format>
    <format dxfId="227">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1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239">
      <pivotArea type="all" dataOnly="0" outline="0" fieldPosition="0"/>
    </format>
    <format dxfId="238">
      <pivotArea type="origin" dataOnly="0" labelOnly="1" outline="0" fieldPosition="0"/>
    </format>
    <format dxfId="237">
      <pivotArea field="9" type="button" dataOnly="0" labelOnly="1" outline="0" axis="axisCol" fieldPosition="0"/>
    </format>
    <format dxfId="236">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247">
      <pivotArea type="all" dataOnly="0" outline="0" fieldPosition="0"/>
    </format>
    <format dxfId="246">
      <pivotArea outline="0" collapsedLevelsAreSubtotals="1" fieldPosition="0"/>
    </format>
    <format dxfId="245">
      <pivotArea field="8" type="button" dataOnly="0" labelOnly="1" outline="0" axis="axisRow" fieldPosition="0"/>
    </format>
    <format dxfId="244">
      <pivotArea dataOnly="0" labelOnly="1" fieldPosition="0">
        <references count="1">
          <reference field="8" count="0"/>
        </references>
      </pivotArea>
    </format>
    <format dxfId="243">
      <pivotArea dataOnly="0" labelOnly="1" grandRow="1" outline="0" fieldPosition="0"/>
    </format>
    <format dxfId="242">
      <pivotArea dataOnly="0" labelOnly="1" outline="0" axis="axisValues" fieldPosition="0"/>
    </format>
    <format dxfId="241">
      <pivotArea field="8" type="button" dataOnly="0" labelOnly="1" outline="0" axis="axisRow" fieldPosition="0"/>
    </format>
    <format dxfId="240">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256">
      <pivotArea type="all" dataOnly="0" outline="0" fieldPosition="0"/>
    </format>
    <format dxfId="255">
      <pivotArea outline="0" collapsedLevelsAreSubtotals="1" fieldPosition="0"/>
    </format>
    <format dxfId="254">
      <pivotArea field="9" type="button" dataOnly="0" labelOnly="1" outline="0" axis="axisRow" fieldPosition="0"/>
    </format>
    <format dxfId="253">
      <pivotArea dataOnly="0" labelOnly="1" fieldPosition="0">
        <references count="1">
          <reference field="9" count="0"/>
        </references>
      </pivotArea>
    </format>
    <format dxfId="252">
      <pivotArea dataOnly="0" labelOnly="1" grandRow="1" outline="0" fieldPosition="0"/>
    </format>
    <format dxfId="251">
      <pivotArea dataOnly="0" labelOnly="1" outline="0" axis="axisValues" fieldPosition="0"/>
    </format>
    <format dxfId="250">
      <pivotArea dataOnly="0" labelOnly="1" fieldPosition="0">
        <references count="1">
          <reference field="9" count="1">
            <x v="1"/>
          </reference>
        </references>
      </pivotArea>
    </format>
    <format dxfId="249">
      <pivotArea outline="0" collapsedLevelsAreSubtotals="1" fieldPosition="0"/>
    </format>
    <format dxfId="2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264">
      <pivotArea type="all" dataOnly="0" outline="0" fieldPosition="0"/>
    </format>
    <format dxfId="263">
      <pivotArea outline="0" collapsedLevelsAreSubtotals="1" fieldPosition="0"/>
    </format>
    <format dxfId="262">
      <pivotArea dataOnly="0" labelOnly="1" outline="0" axis="axisValues" fieldPosition="0"/>
    </format>
    <format dxfId="261">
      <pivotArea type="all" dataOnly="0" outline="0" fieldPosition="0"/>
    </format>
    <format dxfId="260">
      <pivotArea outline="0" collapsedLevelsAreSubtotals="1" fieldPosition="0"/>
    </format>
    <format dxfId="259">
      <pivotArea dataOnly="0" labelOnly="1" outline="0" axis="axisValues" fieldPosition="0"/>
    </format>
    <format dxfId="258">
      <pivotArea field="9" type="button" dataOnly="0" labelOnly="1" outline="0" axis="axisRow" fieldPosition="0"/>
    </format>
    <format dxfId="2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210"/>
    <tableColumn id="3" xr3:uid="{889A7F92-FAC3-46E6-BF99-BC94D4B6F06D}" name="Department" dataDxfId="209"/>
    <tableColumn id="4" xr3:uid="{35408E3C-0A04-40FF-89FC-C68D9A72ADDE}" name="Gender" dataDxfId="208"/>
    <tableColumn id="5" xr3:uid="{AE754CC7-C763-4FAA-999E-E48D0629467D}" name="Age" dataDxfId="207"/>
    <tableColumn id="10" xr3:uid="{0F629A70-447F-4B34-ADB1-0314AD86ABAD}" name="Age bracket" dataDxfId="206">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205"/>
    <tableColumn id="7" xr3:uid="{080D401A-9B4A-4959-B31A-694A39E65571}" name="Exit Date" dataDxfId="204"/>
    <tableColumn id="8" xr3:uid="{85B7AAF4-6DF5-4CAB-B9AA-53CDDF6B312B}" name="Exit Reason" dataDxfId="203"/>
    <tableColumn id="9" xr3:uid="{521A603B-EBE9-4E17-A593-E4D1F5409910}" name="Status" dataDxfId="202"/>
    <tableColumn id="12" xr3:uid="{A40A80E7-F813-473C-AE6B-846F211BABA6}" name="Tenure (days)" dataDxfId="201">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200">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B37" sqref="B37"/>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268" priority="1" operator="equal">
      <formula>"Active"</formula>
    </cfRule>
    <cfRule type="cellIs" dxfId="267"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0.7773437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5.44140625" bestFit="1" customWidth="1"/>
    <col min="32" max="32" width="6.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8">
        <v>1081</v>
      </c>
      <c r="K5" s="17" t="s">
        <v>31</v>
      </c>
      <c r="L5" s="83">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83">
        <v>1677.5067466266867</v>
      </c>
      <c r="AL5" s="16" t="s">
        <v>1182</v>
      </c>
      <c r="AM5" s="51" t="s">
        <v>18</v>
      </c>
      <c r="AN5" s="52" t="s">
        <v>13</v>
      </c>
    </row>
    <row r="6" spans="2:41" x14ac:dyDescent="0.3">
      <c r="K6" s="20" t="s">
        <v>12</v>
      </c>
      <c r="L6" s="84">
        <v>68</v>
      </c>
      <c r="O6" s="12" t="s">
        <v>1124</v>
      </c>
      <c r="P6" s="76">
        <v>82</v>
      </c>
      <c r="R6" s="12" t="s">
        <v>1124</v>
      </c>
      <c r="S6" s="76">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84">
        <v>800.59420289855075</v>
      </c>
      <c r="AL6" s="17" t="s">
        <v>1177</v>
      </c>
      <c r="AM6" s="79">
        <v>153</v>
      </c>
      <c r="AN6" s="80">
        <v>92</v>
      </c>
    </row>
    <row r="7" spans="2:41" x14ac:dyDescent="0.3">
      <c r="K7" s="20" t="s">
        <v>52</v>
      </c>
      <c r="L7" s="84">
        <v>64</v>
      </c>
      <c r="O7" s="31" t="s">
        <v>1132</v>
      </c>
      <c r="P7" s="76">
        <v>18</v>
      </c>
      <c r="R7" s="31" t="s">
        <v>1132</v>
      </c>
      <c r="S7" s="76"/>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5">
        <v>1341.6679000925069</v>
      </c>
      <c r="AL7" s="20" t="s">
        <v>1178</v>
      </c>
      <c r="AM7" s="81">
        <v>162</v>
      </c>
      <c r="AN7" s="76">
        <v>83</v>
      </c>
    </row>
    <row r="8" spans="2:41" x14ac:dyDescent="0.3">
      <c r="B8" s="8" t="s">
        <v>1103</v>
      </c>
      <c r="K8" s="20" t="s">
        <v>34</v>
      </c>
      <c r="L8" s="84">
        <v>46</v>
      </c>
      <c r="O8" s="31" t="s">
        <v>1133</v>
      </c>
      <c r="P8" s="76">
        <v>21</v>
      </c>
      <c r="R8" s="31" t="s">
        <v>1133</v>
      </c>
      <c r="S8" s="76">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1">
        <v>198</v>
      </c>
      <c r="AN8" s="76">
        <v>101</v>
      </c>
    </row>
    <row r="9" spans="2:41" x14ac:dyDescent="0.3">
      <c r="K9" s="20" t="s">
        <v>26</v>
      </c>
      <c r="L9" s="84">
        <v>44</v>
      </c>
      <c r="O9" s="31" t="s">
        <v>1134</v>
      </c>
      <c r="P9" s="76">
        <v>19</v>
      </c>
      <c r="R9" s="31" t="s">
        <v>1134</v>
      </c>
      <c r="S9" s="76">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7 months</v>
      </c>
      <c r="AL9" s="20" t="s">
        <v>1180</v>
      </c>
      <c r="AM9" s="81">
        <v>154</v>
      </c>
      <c r="AN9" s="76">
        <v>119</v>
      </c>
    </row>
    <row r="10" spans="2:41" x14ac:dyDescent="0.3">
      <c r="B10" s="16" t="s">
        <v>8</v>
      </c>
      <c r="C10" s="7" t="s">
        <v>1109</v>
      </c>
      <c r="K10" s="20" t="s">
        <v>65</v>
      </c>
      <c r="L10" s="84">
        <v>39</v>
      </c>
      <c r="O10" s="31" t="s">
        <v>1135</v>
      </c>
      <c r="P10" s="76">
        <v>24</v>
      </c>
      <c r="R10" s="31" t="s">
        <v>1135</v>
      </c>
      <c r="S10" s="76"/>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1"/>
      <c r="AN10" s="76">
        <v>19</v>
      </c>
    </row>
    <row r="11" spans="2:41" x14ac:dyDescent="0.3">
      <c r="B11" s="17" t="s">
        <v>18</v>
      </c>
      <c r="C11" s="83">
        <v>667</v>
      </c>
      <c r="K11" s="20" t="s">
        <v>21</v>
      </c>
      <c r="L11" s="84">
        <v>36</v>
      </c>
      <c r="O11" s="12" t="s">
        <v>1125</v>
      </c>
      <c r="P11" s="76">
        <v>96</v>
      </c>
      <c r="R11" s="12" t="s">
        <v>1125</v>
      </c>
      <c r="S11" s="76">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2">
        <v>667</v>
      </c>
      <c r="AN11" s="77">
        <v>414</v>
      </c>
    </row>
    <row r="12" spans="2:41" x14ac:dyDescent="0.3">
      <c r="B12" s="20" t="s">
        <v>13</v>
      </c>
      <c r="C12" s="84">
        <v>414</v>
      </c>
      <c r="K12" s="18" t="s">
        <v>28</v>
      </c>
      <c r="L12" s="84">
        <v>36</v>
      </c>
      <c r="O12" s="31" t="s">
        <v>1132</v>
      </c>
      <c r="P12" s="76">
        <v>30</v>
      </c>
      <c r="R12" s="31" t="s">
        <v>1132</v>
      </c>
      <c r="S12" s="76"/>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5">
        <v>1081</v>
      </c>
      <c r="K13" s="19" t="s">
        <v>1099</v>
      </c>
      <c r="L13" s="85">
        <v>414</v>
      </c>
      <c r="O13" s="31" t="s">
        <v>1133</v>
      </c>
      <c r="P13" s="76">
        <v>14</v>
      </c>
      <c r="R13" s="31" t="s">
        <v>1133</v>
      </c>
      <c r="S13" s="76">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6">
        <v>25</v>
      </c>
      <c r="R14" s="31" t="s">
        <v>1134</v>
      </c>
      <c r="S14" s="76">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6">
        <v>121</v>
      </c>
      <c r="AH14" s="12">
        <v>0</v>
      </c>
      <c r="AI14" s="76">
        <v>40</v>
      </c>
    </row>
    <row r="15" spans="2:41" x14ac:dyDescent="0.3">
      <c r="B15" s="14" t="s">
        <v>1101</v>
      </c>
      <c r="C15" s="15">
        <f>GETPIVOTDATA("Employee ID",$B$10,"Status","Exited")/GETPIVOTDATA("Employee ID",$B$10)</f>
        <v>0.38297872340425532</v>
      </c>
      <c r="D15" s="60"/>
      <c r="E15" s="60"/>
      <c r="F15" s="60"/>
      <c r="G15" s="60"/>
      <c r="H15" s="60"/>
      <c r="O15" s="31" t="s">
        <v>1135</v>
      </c>
      <c r="P15" s="76">
        <v>27</v>
      </c>
      <c r="R15" s="31" t="s">
        <v>1135</v>
      </c>
      <c r="S15" s="76">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6">
        <v>100</v>
      </c>
      <c r="AH15" s="12">
        <v>1</v>
      </c>
      <c r="AI15" s="76">
        <v>78</v>
      </c>
    </row>
    <row r="16" spans="2:41" x14ac:dyDescent="0.3">
      <c r="O16" s="12" t="s">
        <v>1126</v>
      </c>
      <c r="P16" s="76">
        <v>80</v>
      </c>
      <c r="R16" s="12" t="s">
        <v>1126</v>
      </c>
      <c r="S16" s="76">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6">
        <v>76</v>
      </c>
      <c r="AH16" s="12">
        <v>2</v>
      </c>
      <c r="AI16" s="76">
        <v>80</v>
      </c>
    </row>
    <row r="17" spans="2:35" x14ac:dyDescent="0.3">
      <c r="B17" s="8" t="s">
        <v>1107</v>
      </c>
      <c r="O17" s="31" t="s">
        <v>1132</v>
      </c>
      <c r="P17" s="76">
        <v>21</v>
      </c>
      <c r="R17" s="31" t="s">
        <v>1132</v>
      </c>
      <c r="S17" s="76">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6">
        <v>46</v>
      </c>
      <c r="AH17" s="12">
        <v>3</v>
      </c>
      <c r="AI17" s="76">
        <v>81</v>
      </c>
    </row>
    <row r="18" spans="2:35" x14ac:dyDescent="0.3">
      <c r="O18" s="31" t="s">
        <v>1133</v>
      </c>
      <c r="P18" s="76">
        <v>24</v>
      </c>
      <c r="R18" s="31" t="s">
        <v>1133</v>
      </c>
      <c r="S18" s="76">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6">
        <v>50</v>
      </c>
      <c r="AH18" s="12">
        <v>4</v>
      </c>
      <c r="AI18" s="76">
        <v>79</v>
      </c>
    </row>
    <row r="19" spans="2:35" x14ac:dyDescent="0.3">
      <c r="B19" s="11" t="s">
        <v>1108</v>
      </c>
      <c r="C19" s="21" t="s">
        <v>17</v>
      </c>
      <c r="D19" s="61"/>
      <c r="E19" s="61"/>
      <c r="F19" s="61"/>
      <c r="G19" s="61"/>
      <c r="H19" s="61"/>
      <c r="O19" s="31" t="s">
        <v>1134</v>
      </c>
      <c r="P19" s="76">
        <v>22</v>
      </c>
      <c r="R19" s="31" t="s">
        <v>1134</v>
      </c>
      <c r="S19" s="76">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6">
        <v>21</v>
      </c>
      <c r="AH19" s="12">
        <v>5</v>
      </c>
      <c r="AI19" s="76">
        <v>85</v>
      </c>
    </row>
    <row r="20" spans="2:35" x14ac:dyDescent="0.3">
      <c r="B20" s="22" t="s">
        <v>2</v>
      </c>
      <c r="C20" s="9" t="s">
        <v>13</v>
      </c>
      <c r="O20" s="31" t="s">
        <v>1135</v>
      </c>
      <c r="P20" s="76">
        <v>13</v>
      </c>
      <c r="R20" s="31" t="s">
        <v>1135</v>
      </c>
      <c r="S20" s="76">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7">
        <v>414</v>
      </c>
      <c r="AH20" s="12">
        <v>6</v>
      </c>
      <c r="AI20" s="76">
        <v>97</v>
      </c>
    </row>
    <row r="21" spans="2:35" x14ac:dyDescent="0.3">
      <c r="B21" s="12" t="s">
        <v>15</v>
      </c>
      <c r="C21" s="76">
        <v>100</v>
      </c>
      <c r="O21" s="12" t="s">
        <v>1127</v>
      </c>
      <c r="P21" s="76">
        <v>87</v>
      </c>
      <c r="R21" s="12" t="s">
        <v>1127</v>
      </c>
      <c r="S21" s="76">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6">
        <v>88</v>
      </c>
    </row>
    <row r="22" spans="2:35" x14ac:dyDescent="0.3">
      <c r="B22" s="12" t="s">
        <v>10</v>
      </c>
      <c r="C22" s="76">
        <v>96</v>
      </c>
      <c r="O22" s="31" t="s">
        <v>1132</v>
      </c>
      <c r="P22" s="76">
        <v>24</v>
      </c>
      <c r="R22" s="31" t="s">
        <v>1132</v>
      </c>
      <c r="S22" s="76">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6">
        <v>39</v>
      </c>
    </row>
    <row r="23" spans="2:35" x14ac:dyDescent="0.3">
      <c r="B23" s="12" t="s">
        <v>23</v>
      </c>
      <c r="C23" s="76">
        <v>71</v>
      </c>
      <c r="O23" s="31" t="s">
        <v>1133</v>
      </c>
      <c r="P23" s="76">
        <v>27</v>
      </c>
      <c r="R23" s="31" t="s">
        <v>1133</v>
      </c>
      <c r="S23" s="76">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7">
        <v>667</v>
      </c>
    </row>
    <row r="24" spans="2:35" x14ac:dyDescent="0.3">
      <c r="B24" s="12" t="s">
        <v>20</v>
      </c>
      <c r="C24" s="76">
        <v>58</v>
      </c>
      <c r="O24" s="31" t="s">
        <v>1134</v>
      </c>
      <c r="P24" s="76">
        <v>17</v>
      </c>
      <c r="R24" s="31" t="s">
        <v>1134</v>
      </c>
      <c r="S24" s="76">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76">
        <v>46</v>
      </c>
      <c r="O25" s="31" t="s">
        <v>1135</v>
      </c>
      <c r="P25" s="76">
        <v>19</v>
      </c>
      <c r="R25" s="31" t="s">
        <v>1135</v>
      </c>
      <c r="S25" s="76">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7">
        <v>43</v>
      </c>
      <c r="O26" s="12" t="s">
        <v>1128</v>
      </c>
      <c r="P26" s="76">
        <v>83</v>
      </c>
      <c r="R26" s="12" t="s">
        <v>1128</v>
      </c>
      <c r="S26" s="76">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6">
        <v>26</v>
      </c>
      <c r="R27" s="31" t="s">
        <v>1132</v>
      </c>
      <c r="S27" s="76">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6">
        <v>16</v>
      </c>
      <c r="R28" s="31" t="s">
        <v>1133</v>
      </c>
      <c r="S28" s="76">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6">
        <v>18</v>
      </c>
      <c r="R29" s="31" t="s">
        <v>1134</v>
      </c>
      <c r="S29" s="76">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6">
        <v>23</v>
      </c>
      <c r="R30" s="31" t="s">
        <v>1135</v>
      </c>
      <c r="S30" s="76">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6">
        <v>84</v>
      </c>
      <c r="R31" s="12" t="s">
        <v>1129</v>
      </c>
      <c r="S31" s="76">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6">
        <v>18</v>
      </c>
      <c r="R32" s="31" t="s">
        <v>1132</v>
      </c>
      <c r="S32" s="76">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6">
        <v>22</v>
      </c>
      <c r="R33" s="31" t="s">
        <v>1133</v>
      </c>
      <c r="S33" s="76">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76">
        <v>22</v>
      </c>
      <c r="R34" s="31" t="s">
        <v>1134</v>
      </c>
      <c r="S34" s="76">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6">
        <v>22</v>
      </c>
      <c r="R35" s="31" t="s">
        <v>1135</v>
      </c>
      <c r="S35" s="76">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6">
        <v>71</v>
      </c>
      <c r="R36" s="12" t="s">
        <v>1130</v>
      </c>
      <c r="S36" s="76">
        <v>72</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6">
        <v>16</v>
      </c>
      <c r="R37" s="31" t="s">
        <v>1132</v>
      </c>
      <c r="S37" s="76">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6">
        <v>20</v>
      </c>
      <c r="R38" s="31" t="s">
        <v>1133</v>
      </c>
      <c r="S38" s="76">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6">
        <v>18</v>
      </c>
      <c r="R39" s="31" t="s">
        <v>1134</v>
      </c>
      <c r="S39" s="76">
        <v>16</v>
      </c>
    </row>
    <row r="40" spans="2:28" x14ac:dyDescent="0.3">
      <c r="O40" s="31" t="s">
        <v>1135</v>
      </c>
      <c r="P40" s="76">
        <v>17</v>
      </c>
      <c r="R40" s="31" t="s">
        <v>1135</v>
      </c>
      <c r="S40" s="76">
        <v>22</v>
      </c>
    </row>
    <row r="41" spans="2:28" x14ac:dyDescent="0.3">
      <c r="O41" s="12" t="s">
        <v>1131</v>
      </c>
      <c r="P41" s="76">
        <v>84</v>
      </c>
      <c r="R41" s="12" t="s">
        <v>1131</v>
      </c>
      <c r="S41" s="76">
        <v>115</v>
      </c>
    </row>
    <row r="42" spans="2:28" x14ac:dyDescent="0.3">
      <c r="O42" s="31" t="s">
        <v>1132</v>
      </c>
      <c r="P42" s="76">
        <v>21</v>
      </c>
      <c r="R42" s="31" t="s">
        <v>1132</v>
      </c>
      <c r="S42" s="76">
        <v>30</v>
      </c>
    </row>
    <row r="43" spans="2:28" x14ac:dyDescent="0.3">
      <c r="O43" s="31" t="s">
        <v>1133</v>
      </c>
      <c r="P43" s="76">
        <v>22</v>
      </c>
      <c r="R43" s="31" t="s">
        <v>1133</v>
      </c>
      <c r="S43" s="76">
        <v>26</v>
      </c>
    </row>
    <row r="44" spans="2:28" x14ac:dyDescent="0.3">
      <c r="O44" s="31" t="s">
        <v>1134</v>
      </c>
      <c r="P44" s="76">
        <v>23</v>
      </c>
      <c r="R44" s="31" t="s">
        <v>1134</v>
      </c>
      <c r="S44" s="76">
        <v>22</v>
      </c>
    </row>
    <row r="45" spans="2:28" x14ac:dyDescent="0.3">
      <c r="O45" s="31" t="s">
        <v>1135</v>
      </c>
      <c r="P45" s="76">
        <v>18</v>
      </c>
      <c r="R45" s="31" t="s">
        <v>1135</v>
      </c>
      <c r="S45" s="76">
        <v>37</v>
      </c>
    </row>
    <row r="46" spans="2:28" x14ac:dyDescent="0.3">
      <c r="O46" s="13" t="s">
        <v>1099</v>
      </c>
      <c r="P46" s="77">
        <v>667</v>
      </c>
      <c r="R46" s="12" t="s">
        <v>1190</v>
      </c>
      <c r="S46" s="76">
        <v>58</v>
      </c>
    </row>
    <row r="47" spans="2:28" x14ac:dyDescent="0.3">
      <c r="R47" s="31" t="s">
        <v>1132</v>
      </c>
      <c r="S47" s="76">
        <v>36</v>
      </c>
    </row>
    <row r="48" spans="2:28" x14ac:dyDescent="0.3">
      <c r="R48" s="31" t="s">
        <v>1133</v>
      </c>
      <c r="S48" s="76">
        <v>22</v>
      </c>
    </row>
    <row r="49" spans="18:19" x14ac:dyDescent="0.3">
      <c r="R49" s="31" t="s">
        <v>1134</v>
      </c>
      <c r="S49" s="76"/>
    </row>
    <row r="50" spans="18:19" x14ac:dyDescent="0.3">
      <c r="R50" s="31" t="s">
        <v>1135</v>
      </c>
      <c r="S50" s="76"/>
    </row>
    <row r="51" spans="18:19" x14ac:dyDescent="0.3">
      <c r="R51" s="13" t="s">
        <v>1099</v>
      </c>
      <c r="S51" s="77">
        <v>414</v>
      </c>
    </row>
  </sheetData>
  <conditionalFormatting sqref="H32:H39">
    <cfRule type="expression" dxfId="266" priority="1">
      <formula>H32&lt;H31</formula>
    </cfRule>
    <cfRule type="expression" dxfId="265"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workbookViewId="0"/>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247</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4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1698</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25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1906</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19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2780</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11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232</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20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2208</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17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319</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320</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1620</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925</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2239</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17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2830</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768</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7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1655</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2098</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29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1312</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4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1880</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23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2137</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7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323</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728</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28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623</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3100</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27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1458</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27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1874</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17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1202</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14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2724</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603</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1359</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20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2094</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25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1407</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7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902</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20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2988</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5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2996</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13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2073</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4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2664</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15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2795</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26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788</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27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1386</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17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1271</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24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839</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2920</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28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2686</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9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1889</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398</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3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1057</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22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2363</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20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2956</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3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413</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453</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27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2108</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9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1714</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10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731</v>
      </c>
      <c r="L97" cm="1">
        <f t="array" aca="1" ref="L97" ca="1">_xlfn.IFS(EmployeeData[[#This Row],[Status]]="Exited",DATEDIF(EmployeeData[[#This Row],[Join Date]], EmployeeData[[#This Row],[Exit Date]], "Y"),EmployeeData[[#This Row],[Status]]="Active",DATEDIF(EmployeeData[[#This Row],[Join Date]], TODAY(), "Y"))</f>
        <v>2</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1561</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1078</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12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2698</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21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2800</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344</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9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2959</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6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1329</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21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568</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21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1201</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13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3017</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2164</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3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1768</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2054</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16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2530</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3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2663</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14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2474</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9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2217</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26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2858</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28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478</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2514</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18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1156</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408</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1360</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21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2226</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4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2896</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4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1672</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29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560</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513</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28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1830</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4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2544</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17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925</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2403</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29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1322</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14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2794</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25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1206</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18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1835</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9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587</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10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1790</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25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2761</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22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2578</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21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2724</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1287</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9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1600</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19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2443</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8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835</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13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217</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5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662</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24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2121</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22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878</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27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2068</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2783</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14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1280</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3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588</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11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1618</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6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1623</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11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1288</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10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3000</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17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2228</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6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2461</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26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953</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10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408</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1920</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3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2459</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24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1036</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1936</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18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2921</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29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1961</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15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822</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2545</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18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1497</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5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421</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25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2501</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5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2486</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21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1655</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1923</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5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1551</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29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2659</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10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1754</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20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1440</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9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1395</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26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2388</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14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1403</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3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954</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11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2278</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26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351</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16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2552</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25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1459</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28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2147</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17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2201</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10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2914</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22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903</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803</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12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1264</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17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1145</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1197</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1795</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0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714</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1061</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26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2859</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29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938</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2712</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4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2724</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465</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8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2258</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6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1748</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14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2706</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29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2985</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2755</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16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1268</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21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1879</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1735</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681</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12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1311</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3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273</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0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2659</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10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1748</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14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729</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29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2392</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18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2343</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2032</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24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752</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790</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29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886</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4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1887</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0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2247</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25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2259</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7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1570</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17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917</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4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2572</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15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2724</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1348</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9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607</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583</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1667</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24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1079</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13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1627</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1177</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20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1476</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1836</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10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1840</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964</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21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1734</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0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1060</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2171</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10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1538</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16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1995</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18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1862</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5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2801</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2612</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24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220</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1649</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6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829</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1539</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17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2965</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12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1961</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15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3027</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13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2335</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3025</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11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221</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488</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2192</v>
      </c>
      <c r="L351" cm="1">
        <f t="array" aca="1" ref="L351" ca="1">_xlfn.IFS(EmployeeData[[#This Row],[Status]]="Exited",DATEDIF(EmployeeData[[#This Row],[Join Date]], EmployeeData[[#This Row],[Exit Date]], "Y"),EmployeeData[[#This Row],[Status]]="Active",DATEDIF(EmployeeData[[#This Row],[Join Date]], TODAY(), "Y"))</f>
        <v>6</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1503</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11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487</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0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501</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2425</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21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440</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1843</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17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1392</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23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1050</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15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2398</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24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2279</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27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1771</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6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966</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1935</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17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1978</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2241</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19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2437</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3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2439</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4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1884</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27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419</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23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206</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24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2357</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14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1172</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15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1823</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27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2576</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19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1578</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25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664</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26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429</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3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1391</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2256</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4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366</v>
      </c>
      <c r="L405" cm="1">
        <f t="array" aca="1" ref="L405" ca="1">_xlfn.IFS(EmployeeData[[#This Row],[Status]]="Exited",DATEDIF(EmployeeData[[#This Row],[Join Date]], EmployeeData[[#This Row],[Exit Date]], "Y"),EmployeeData[[#This Row],[Status]]="Active",DATEDIF(EmployeeData[[#This Row],[Join Date]], TODAY(), "Y"))</f>
        <v>1</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1379</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1402</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3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980</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6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2498</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1287</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9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1024</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812</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21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2916</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24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840</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18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1477</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16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1882</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25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2248</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26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1043</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8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345</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10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3003</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20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583</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268</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25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2275</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23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868</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17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2341</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29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714</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545</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2943</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21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1794</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29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2243</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21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458</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525</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1544</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22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1898</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11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3061</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19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2364</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21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466</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9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2482</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17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482</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25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1637</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25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735</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1173</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16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1126</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0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2931</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9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2684</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7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1112</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16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2642</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24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990</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2420</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16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1045</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10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327</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23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319</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2067</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29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2165</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2448</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13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2389</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994</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20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2751</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12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1452</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21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2627</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9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800</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2994</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11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1417</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17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2795</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26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1063</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28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2933</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11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1959</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13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1684</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11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3058</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16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1611</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0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2001</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24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1169</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12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744</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1110</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14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483</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26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702</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3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236</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24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1156</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686</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17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2740</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1377</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2005</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28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237</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25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1065</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0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2087</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18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972</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29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855</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3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287</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14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1310</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3030</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16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2329</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17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2712</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4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2668</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19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1189</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929</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820</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29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2423</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19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1816</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20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800</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2398</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24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2785</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16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2178</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17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808</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17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582</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2468</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3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868</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17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719</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19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2889</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28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1267</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20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2553</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26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923</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10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626</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18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2557</v>
      </c>
      <c r="L574" cm="1">
        <f t="array" aca="1" ref="L574" ca="1">_xlfn.IFS(EmployeeData[[#This Row],[Status]]="Exited",DATEDIF(EmployeeData[[#This Row],[Join Date]], EmployeeData[[#This Row],[Exit Date]], "Y"),EmployeeData[[#This Row],[Status]]="Active",DATEDIF(EmployeeData[[#This Row],[Join Date]], TODAY(), "Y"))</f>
        <v>7</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0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616</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8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2100</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2524</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28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2552</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25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2757</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18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852</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0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1228</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12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695</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1750</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16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1356</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17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1412</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12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1357</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18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978</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352</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17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1734</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0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540</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24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218</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2221</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0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2520</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24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1519</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27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1741</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595</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2726</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1217</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29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1772</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7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783</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22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2638</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20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2506</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10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1879</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3073</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1544</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22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1202</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14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305</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1186</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29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2414</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10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2792</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1702</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29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2708</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2013</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5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2308</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25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651</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2350</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7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1358</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19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1744</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10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2376</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3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384</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19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1148</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2610</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22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1610</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29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2383</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9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2496</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2112</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13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1238</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22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2848</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18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2612</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24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1944</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26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2127</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28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1682</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9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1285</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7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610</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2206</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15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2969</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16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1141</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14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226</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14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2882</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21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2389</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320</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1181</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24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2335</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2566</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9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2155</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25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676</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2403</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29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1942</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24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206</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24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1145</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333</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29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2598</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10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2833</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3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263</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20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1995</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18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594</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17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1220</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2537</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10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2579</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22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277</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2972</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19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2510</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14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1038</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2403</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29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208</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824</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3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292</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19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1158</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409</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1102</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6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2373</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0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1090</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24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892</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10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1294</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16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1182</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25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2708</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2759</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20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412</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3015</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2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1730</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26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504</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19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2181</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20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786</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25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1333</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25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2367</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24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2009</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2843</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13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2880</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19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1618</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6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768</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7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2075</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6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2140</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10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1620</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277</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916</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3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2737</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29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2695</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18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1250</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3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3094</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21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673</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4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819</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28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2903</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11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1927</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9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1592</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11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1655</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1867</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10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2411</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7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2939</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17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716</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16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1066</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2927</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5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2727</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19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2439</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4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1096</v>
      </c>
      <c r="L794" cm="1">
        <f t="array" aca="1" ref="L794" ca="1">_xlfn.IFS(EmployeeData[[#This Row],[Status]]="Exited",DATEDIF(EmployeeData[[#This Row],[Join Date]], EmployeeData[[#This Row],[Exit Date]], "Y"),EmployeeData[[#This Row],[Status]]="Active",DATEDIF(EmployeeData[[#This Row],[Join Date]], TODAY(), "Y"))</f>
        <v>3</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0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1078</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12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2498</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2772</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3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1222</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6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2426</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22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2157</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27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2207</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16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1508</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16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277</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2976</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23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1713</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9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1034</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0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1308</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0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1350</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11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2855</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25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1895</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8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945</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975</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790</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29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2506</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10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284</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11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1121</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25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2464</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29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2830</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547</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1970</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24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2370</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27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1461</v>
      </c>
      <c r="L846" cm="1">
        <f t="array" aca="1" ref="L846" ca="1">_xlfn.IFS(EmployeeData[[#This Row],[Status]]="Exited",DATEDIF(EmployeeData[[#This Row],[Join Date]], EmployeeData[[#This Row],[Exit Date]], "Y"),EmployeeData[[#This Row],[Status]]="Active",DATEDIF(EmployeeData[[#This Row],[Join Date]], TODAY(), "Y"))</f>
        <v>4</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0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1438</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7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2138</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8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1859</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3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1577</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3102</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29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1987</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10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606</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29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3089</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16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2381</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7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1955</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9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1335</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27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2182</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21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542</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2715</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7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440</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678</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2503</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371</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6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3021</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7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1857</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2917</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25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2888</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27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2773</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4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1574</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1601</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20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1636</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24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2326</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14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1952</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6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2495</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843</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21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2248</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26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408</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1771</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6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779</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18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2846</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16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2679</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0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2822</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22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1597</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16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2578</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21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384</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19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1927</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9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245</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3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1085</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1427</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27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1121</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25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1963</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17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2221</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0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1507</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1572</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19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321</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2926</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4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2836</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6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1871</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504</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19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1540</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18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973</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0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3025</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11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842</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1578</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25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1530</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8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1019</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15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214</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2071</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2343</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1116</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20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2125</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26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3094</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21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493</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8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330</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26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410</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2633</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15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2674</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25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2204</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13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2736</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28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1562</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9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902</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20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2503</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1841</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15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238</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26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3018</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4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2812</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12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1914</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27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2371</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28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1207</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19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466</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9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2349</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6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1617</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979</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1664</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21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1740</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6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2676</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27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2357</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14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1856</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0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2123</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24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1370</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1366</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27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305</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2180</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19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418</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382</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1469</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8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2768</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29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2334</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22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1985</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8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2131</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2938</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16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2072</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2829</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29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2214</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23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1999</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3101</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28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1777</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12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414</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18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541</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25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527</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2379</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5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2696</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19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3068</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26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2536</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9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2878</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17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2686</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9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1659</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16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2690</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13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2929</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7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547</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3098</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1082</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1537</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15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948</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5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1622</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1899</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1560</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7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946</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3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322</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2175</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14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2239</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17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433</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7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2338</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26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1649</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6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701</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2784</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15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1052</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17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1631</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19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606</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29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1839</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13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1959</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13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1296</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18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1234</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18 days</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840</v>
      </c>
      <c r="M12">
        <f>COUNTIFS(EmployeeData[Exit Date], "&gt;="&amp;J12, EmployeeData[Exit Date], "&lt;="&amp;K12)</f>
        <v>115</v>
      </c>
      <c r="N12">
        <f t="shared" si="0"/>
        <v>725</v>
      </c>
      <c r="O12">
        <f t="shared" si="2"/>
        <v>718</v>
      </c>
      <c r="P12" s="65">
        <f t="shared" si="3"/>
        <v>1.969057665260197E-2</v>
      </c>
      <c r="Q12" s="65">
        <f t="shared" si="1"/>
        <v>0.16016713091922005</v>
      </c>
      <c r="R12" s="68">
        <f t="shared" si="4"/>
        <v>5.5439858191947328E-2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-7.6833797585886723E-2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2026-07-04T13:42:54Z</dcterms:modified>
</cp:coreProperties>
</file>